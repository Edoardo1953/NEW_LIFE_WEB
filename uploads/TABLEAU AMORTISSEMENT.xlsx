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EW LIFE\BILANCI E DICHIARAZIONI\"/>
    </mc:Choice>
  </mc:AlternateContent>
  <xr:revisionPtr revIDLastSave="0" documentId="13_ncr:1_{12C6FE76-5564-459F-91F1-162396B0A04D}" xr6:coauthVersionLast="47" xr6:coauthVersionMax="47" xr10:uidLastSave="{00000000-0000-0000-0000-000000000000}"/>
  <bookViews>
    <workbookView xWindow="-120" yWindow="-120" windowWidth="29040" windowHeight="15720" firstSheet="2" activeTab="8" xr2:uid="{00000000-000D-0000-FFFF-FFFF00000000}"/>
  </bookViews>
  <sheets>
    <sheet name="Amortissement linéaire" sheetId="1" r:id="rId1"/>
    <sheet name="Amortissement dégressif" sheetId="3" r:id="rId2"/>
    <sheet name="Saisie lin" sheetId="4" r:id="rId3"/>
    <sheet name="Amm auto" sheetId="10" r:id="rId4"/>
    <sheet name="AMM A" sheetId="12" r:id="rId5"/>
    <sheet name="AMM B" sheetId="9" r:id="rId6"/>
    <sheet name="AMM C" sheetId="7" r:id="rId7"/>
    <sheet name="AMM A,B,C" sheetId="11" r:id="rId8"/>
    <sheet name="Amortissements" sheetId="13" r:id="rId9"/>
    <sheet name="2026 Marius" sheetId="16" r:id="rId10"/>
    <sheet name="2025 Marius" sheetId="15" r:id="rId11"/>
    <sheet name="2024 Marius" sheetId="14" r:id="rId12"/>
  </sheets>
  <definedNames>
    <definedName name="_xlnm.Print_Area" localSheetId="11">'2024 Marius'!$A$1:$L$29</definedName>
    <definedName name="_xlnm.Print_Area" localSheetId="10">'2025 Marius'!$A$1:$L$29</definedName>
    <definedName name="_xlnm.Print_Area" localSheetId="9">'2026 Marius'!$A$1:$L$30</definedName>
    <definedName name="_xlnm.Print_Area" localSheetId="4">'AMM A'!$B$1:$U$40</definedName>
    <definedName name="_xlnm.Print_Area" localSheetId="7">'AMM A,B,C'!$B$1:$M$41</definedName>
    <definedName name="_xlnm.Print_Area" localSheetId="3">'Amm auto'!$B$1:$G$27</definedName>
    <definedName name="_xlnm.Print_Area" localSheetId="5">'AMM B'!$B$1:$U$20</definedName>
    <definedName name="_xlnm.Print_Area" localSheetId="6">'AMM C'!$B$1:$U$40</definedName>
    <definedName name="_xlnm.Print_Area" localSheetId="1">'Amortissement dégressif'!$B$2:$H$27</definedName>
    <definedName name="_xlnm.Print_Area" localSheetId="0">'Amortissement linéaire'!$B$2:$G$28</definedName>
    <definedName name="_xlnm.Print_Area" localSheetId="8">Amortissements!$B$2:$R$40</definedName>
    <definedName name="_xlnm.Print_Area" localSheetId="2">'Saisie lin'!$B$1:$G$27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9" i="16" l="1"/>
  <c r="K20" i="16"/>
  <c r="K16" i="16"/>
  <c r="K15" i="16"/>
  <c r="K14" i="16"/>
  <c r="G30" i="16"/>
  <c r="K29" i="15"/>
  <c r="G16" i="16"/>
  <c r="G15" i="16"/>
  <c r="G26" i="16"/>
  <c r="G25" i="16"/>
  <c r="G19" i="16"/>
  <c r="K21" i="16"/>
  <c r="G14" i="16"/>
  <c r="G13" i="16"/>
  <c r="G12" i="16"/>
  <c r="G11" i="16"/>
  <c r="G10" i="16"/>
  <c r="I15" i="13"/>
  <c r="K14" i="13"/>
  <c r="L14" i="13" s="1"/>
  <c r="L15" i="13" s="1"/>
  <c r="C14" i="13"/>
  <c r="D30" i="13"/>
  <c r="D30" i="16"/>
  <c r="J21" i="16"/>
  <c r="H20" i="16"/>
  <c r="L30" i="16"/>
  <c r="I30" i="16"/>
  <c r="H30" i="16"/>
  <c r="J26" i="16"/>
  <c r="K26" i="16"/>
  <c r="K25" i="16"/>
  <c r="K27" i="16" s="1"/>
  <c r="J27" i="16"/>
  <c r="J20" i="16"/>
  <c r="J19" i="16"/>
  <c r="J16" i="16"/>
  <c r="J15" i="16"/>
  <c r="J14" i="16"/>
  <c r="J13" i="16"/>
  <c r="K13" i="16"/>
  <c r="J12" i="16"/>
  <c r="K12" i="16"/>
  <c r="J11" i="16"/>
  <c r="J10" i="16"/>
  <c r="K10" i="16"/>
  <c r="J10" i="15"/>
  <c r="T10" i="7"/>
  <c r="S10" i="7"/>
  <c r="R10" i="7"/>
  <c r="M47" i="7"/>
  <c r="M42" i="7"/>
  <c r="J15" i="15"/>
  <c r="K15" i="15" s="1"/>
  <c r="J16" i="15"/>
  <c r="K16" i="15" s="1"/>
  <c r="G25" i="15"/>
  <c r="G24" i="15"/>
  <c r="G19" i="15"/>
  <c r="G11" i="15"/>
  <c r="G12" i="15"/>
  <c r="G13" i="15"/>
  <c r="G14" i="15"/>
  <c r="G10" i="15"/>
  <c r="K24" i="14"/>
  <c r="K29" i="14"/>
  <c r="K10" i="14"/>
  <c r="K23" i="13"/>
  <c r="L23" i="13" s="1"/>
  <c r="C23" i="13"/>
  <c r="C7" i="13"/>
  <c r="C6" i="13"/>
  <c r="C5" i="13"/>
  <c r="C4" i="13"/>
  <c r="C13" i="13"/>
  <c r="C12" i="13"/>
  <c r="C11" i="13"/>
  <c r="C21" i="13"/>
  <c r="C20" i="13"/>
  <c r="C19" i="13"/>
  <c r="C18" i="13"/>
  <c r="C24" i="13"/>
  <c r="C22" i="13"/>
  <c r="J17" i="16" l="1"/>
  <c r="J30" i="16" s="1"/>
  <c r="K11" i="16"/>
  <c r="K17" i="16" s="1"/>
  <c r="K30" i="16" s="1"/>
  <c r="K24" i="13"/>
  <c r="L24" i="13" s="1"/>
  <c r="J25" i="15" l="1"/>
  <c r="J24" i="15"/>
  <c r="J11" i="15"/>
  <c r="J12" i="15"/>
  <c r="K12" i="15" s="1"/>
  <c r="J13" i="15"/>
  <c r="K13" i="15" s="1"/>
  <c r="J14" i="15"/>
  <c r="K14" i="15" s="1"/>
  <c r="J19" i="15"/>
  <c r="K19" i="15" s="1"/>
  <c r="K10" i="15"/>
  <c r="K25" i="15"/>
  <c r="L29" i="15"/>
  <c r="I29" i="15"/>
  <c r="D29" i="15"/>
  <c r="L29" i="14"/>
  <c r="J29" i="14"/>
  <c r="I29" i="14"/>
  <c r="H29" i="14"/>
  <c r="G29" i="14"/>
  <c r="D29" i="14"/>
  <c r="K25" i="14"/>
  <c r="K16" i="14"/>
  <c r="K11" i="14"/>
  <c r="K12" i="14"/>
  <c r="K13" i="14"/>
  <c r="K14" i="14"/>
  <c r="J17" i="15" l="1"/>
  <c r="K24" i="15"/>
  <c r="K26" i="15" s="1"/>
  <c r="J26" i="15"/>
  <c r="K11" i="15"/>
  <c r="K17" i="15" s="1"/>
  <c r="H29" i="15"/>
  <c r="L5" i="13"/>
  <c r="L6" i="13"/>
  <c r="L7" i="13"/>
  <c r="L4" i="13"/>
  <c r="L25" i="13"/>
  <c r="I25" i="13"/>
  <c r="M29" i="13" s="1"/>
  <c r="I29" i="13"/>
  <c r="K13" i="13"/>
  <c r="L13" i="13" s="1"/>
  <c r="K12" i="13"/>
  <c r="L12" i="13" s="1"/>
  <c r="K11" i="13"/>
  <c r="L11" i="13" s="1"/>
  <c r="J29" i="15" l="1"/>
  <c r="B7" i="11"/>
  <c r="B20" i="11"/>
  <c r="B33" i="11"/>
  <c r="L56" i="12"/>
  <c r="I56" i="12"/>
  <c r="H56" i="12"/>
  <c r="J56" i="12" s="1"/>
  <c r="J57" i="12" s="1"/>
  <c r="G56" i="12"/>
  <c r="K56" i="12" s="1"/>
  <c r="L49" i="12"/>
  <c r="I49" i="12"/>
  <c r="H49" i="12"/>
  <c r="J49" i="12" s="1"/>
  <c r="G49" i="12"/>
  <c r="K49" i="12" s="1"/>
  <c r="L42" i="12"/>
  <c r="I42" i="12"/>
  <c r="H42" i="12"/>
  <c r="J42" i="12" s="1"/>
  <c r="J43" i="12" s="1"/>
  <c r="G42" i="12"/>
  <c r="K42" i="12" s="1"/>
  <c r="L35" i="12"/>
  <c r="H35" i="12"/>
  <c r="I35" i="12" s="1"/>
  <c r="G35" i="12"/>
  <c r="K35" i="12" s="1"/>
  <c r="L28" i="12"/>
  <c r="H28" i="12"/>
  <c r="J28" i="12" s="1"/>
  <c r="G28" i="12"/>
  <c r="K28" i="12" s="1"/>
  <c r="L21" i="12"/>
  <c r="H21" i="12"/>
  <c r="J21" i="12" s="1"/>
  <c r="G21" i="12"/>
  <c r="K21" i="12" s="1"/>
  <c r="L14" i="12"/>
  <c r="H14" i="12"/>
  <c r="J14" i="12" s="1"/>
  <c r="G14" i="12"/>
  <c r="K14" i="12" s="1"/>
  <c r="B14" i="12"/>
  <c r="B21" i="12" s="1"/>
  <c r="B28" i="12" s="1"/>
  <c r="B35" i="12" s="1"/>
  <c r="B42" i="12" s="1"/>
  <c r="B49" i="12" s="1"/>
  <c r="B56" i="12" s="1"/>
  <c r="Q8" i="12"/>
  <c r="B8" i="11" s="1"/>
  <c r="L7" i="12"/>
  <c r="H7" i="12"/>
  <c r="I7" i="12" s="1"/>
  <c r="G7" i="12"/>
  <c r="K7" i="12" s="1"/>
  <c r="J7" i="12" l="1"/>
  <c r="M7" i="12" s="1"/>
  <c r="N7" i="12" s="1"/>
  <c r="J35" i="12"/>
  <c r="M35" i="12" s="1"/>
  <c r="N35" i="12" s="1"/>
  <c r="K43" i="12"/>
  <c r="J44" i="12"/>
  <c r="M43" i="12"/>
  <c r="L43" i="12"/>
  <c r="O43" i="12"/>
  <c r="N43" i="12"/>
  <c r="M28" i="12"/>
  <c r="N28" i="12" s="1"/>
  <c r="J29" i="12"/>
  <c r="M49" i="12"/>
  <c r="N49" i="12" s="1"/>
  <c r="O49" i="12"/>
  <c r="J50" i="12"/>
  <c r="O57" i="12"/>
  <c r="N57" i="12"/>
  <c r="M57" i="12"/>
  <c r="L57" i="12"/>
  <c r="K57" i="12"/>
  <c r="J58" i="12"/>
  <c r="J15" i="12"/>
  <c r="M14" i="12"/>
  <c r="N14" i="12" s="1"/>
  <c r="J22" i="12"/>
  <c r="M21" i="12"/>
  <c r="N21" i="12" s="1"/>
  <c r="I14" i="12"/>
  <c r="Q9" i="12"/>
  <c r="B9" i="11" s="1"/>
  <c r="I21" i="12"/>
  <c r="M56" i="12"/>
  <c r="N56" i="12" s="1"/>
  <c r="O56" i="12"/>
  <c r="I28" i="12"/>
  <c r="M42" i="12"/>
  <c r="N42" i="12" s="1"/>
  <c r="O42" i="12"/>
  <c r="D6" i="10"/>
  <c r="C7" i="9"/>
  <c r="O28" i="12" l="1"/>
  <c r="J36" i="12"/>
  <c r="K36" i="12" s="1"/>
  <c r="J8" i="12"/>
  <c r="O58" i="12"/>
  <c r="N58" i="12"/>
  <c r="K58" i="12"/>
  <c r="J59" i="12"/>
  <c r="M58" i="12"/>
  <c r="L58" i="12"/>
  <c r="M36" i="12"/>
  <c r="N36" i="12" s="1"/>
  <c r="L36" i="12"/>
  <c r="O36" i="12" s="1"/>
  <c r="J37" i="12"/>
  <c r="K22" i="12"/>
  <c r="J23" i="12"/>
  <c r="M22" i="12"/>
  <c r="L22" i="12"/>
  <c r="O22" i="12"/>
  <c r="N22" i="12"/>
  <c r="O14" i="12"/>
  <c r="M29" i="12"/>
  <c r="L29" i="12"/>
  <c r="O29" i="12" s="1"/>
  <c r="N29" i="12"/>
  <c r="J30" i="12"/>
  <c r="K29" i="12"/>
  <c r="O21" i="12"/>
  <c r="J45" i="12"/>
  <c r="L44" i="12"/>
  <c r="O44" i="12"/>
  <c r="N44" i="12"/>
  <c r="M44" i="12"/>
  <c r="K44" i="12"/>
  <c r="J16" i="12"/>
  <c r="M15" i="12"/>
  <c r="N15" i="12" s="1"/>
  <c r="L15" i="12"/>
  <c r="O15" i="12" s="1"/>
  <c r="K15" i="12"/>
  <c r="O7" i="12"/>
  <c r="O35" i="12"/>
  <c r="Q10" i="12"/>
  <c r="B10" i="11" s="1"/>
  <c r="K8" i="12"/>
  <c r="M8" i="12"/>
  <c r="N8" i="12" s="1"/>
  <c r="J9" i="12"/>
  <c r="L8" i="12"/>
  <c r="N50" i="12"/>
  <c r="L50" i="12"/>
  <c r="J51" i="12"/>
  <c r="O50" i="12"/>
  <c r="M50" i="12"/>
  <c r="K50" i="12"/>
  <c r="Q8" i="7"/>
  <c r="Q8" i="9"/>
  <c r="C16" i="10"/>
  <c r="D10" i="10"/>
  <c r="B16" i="10" s="1"/>
  <c r="O8" i="12" l="1"/>
  <c r="Q9" i="9"/>
  <c r="B21" i="11"/>
  <c r="Q9" i="7"/>
  <c r="B34" i="11"/>
  <c r="M30" i="12"/>
  <c r="L30" i="12"/>
  <c r="N30" i="12"/>
  <c r="K30" i="12"/>
  <c r="J31" i="12"/>
  <c r="O59" i="12"/>
  <c r="N59" i="12"/>
  <c r="J60" i="12"/>
  <c r="M59" i="12"/>
  <c r="K59" i="12"/>
  <c r="L59" i="12"/>
  <c r="K45" i="12"/>
  <c r="L45" i="12"/>
  <c r="J46" i="12"/>
  <c r="M45" i="12"/>
  <c r="O45" i="12"/>
  <c r="N45" i="12"/>
  <c r="M51" i="12"/>
  <c r="L51" i="12"/>
  <c r="N51" i="12"/>
  <c r="K51" i="12"/>
  <c r="J52" i="12"/>
  <c r="O51" i="12"/>
  <c r="J17" i="12"/>
  <c r="K16" i="12"/>
  <c r="M16" i="12"/>
  <c r="N16" i="12" s="1"/>
  <c r="L16" i="12"/>
  <c r="O16" i="12" s="1"/>
  <c r="Q11" i="12"/>
  <c r="B11" i="11" s="1"/>
  <c r="J24" i="12"/>
  <c r="L23" i="12"/>
  <c r="K23" i="12"/>
  <c r="M23" i="12"/>
  <c r="N23" i="12" s="1"/>
  <c r="L9" i="12"/>
  <c r="K9" i="12"/>
  <c r="M9" i="12"/>
  <c r="N9" i="12" s="1"/>
  <c r="J10" i="12"/>
  <c r="J38" i="12"/>
  <c r="K37" i="12"/>
  <c r="M37" i="12"/>
  <c r="N37" i="12" s="1"/>
  <c r="L37" i="12"/>
  <c r="O37" i="12" s="1"/>
  <c r="E16" i="10"/>
  <c r="F16" i="10" s="1"/>
  <c r="B17" i="10"/>
  <c r="D11" i="10"/>
  <c r="L56" i="9"/>
  <c r="H56" i="9"/>
  <c r="G56" i="9"/>
  <c r="K56" i="9" s="1"/>
  <c r="L49" i="9"/>
  <c r="I49" i="9"/>
  <c r="H49" i="9"/>
  <c r="J49" i="9" s="1"/>
  <c r="G49" i="9"/>
  <c r="K49" i="9" s="1"/>
  <c r="L42" i="9"/>
  <c r="I42" i="9"/>
  <c r="H42" i="9"/>
  <c r="J42" i="9" s="1"/>
  <c r="J43" i="9" s="1"/>
  <c r="G42" i="9"/>
  <c r="K42" i="9" s="1"/>
  <c r="L35" i="9"/>
  <c r="I35" i="9"/>
  <c r="H35" i="9"/>
  <c r="J35" i="9" s="1"/>
  <c r="G35" i="9"/>
  <c r="K35" i="9" s="1"/>
  <c r="L28" i="9"/>
  <c r="H28" i="9"/>
  <c r="G28" i="9"/>
  <c r="K28" i="9" s="1"/>
  <c r="L21" i="9"/>
  <c r="I21" i="9"/>
  <c r="H21" i="9"/>
  <c r="J21" i="9" s="1"/>
  <c r="G21" i="9"/>
  <c r="K21" i="9" s="1"/>
  <c r="L14" i="9"/>
  <c r="H14" i="9"/>
  <c r="G14" i="9"/>
  <c r="K14" i="9" s="1"/>
  <c r="B14" i="9"/>
  <c r="B21" i="9" s="1"/>
  <c r="B28" i="9" s="1"/>
  <c r="B35" i="9" s="1"/>
  <c r="B42" i="9" s="1"/>
  <c r="B49" i="9" s="1"/>
  <c r="B56" i="9" s="1"/>
  <c r="L7" i="9"/>
  <c r="H7" i="9"/>
  <c r="I7" i="9" s="1"/>
  <c r="G7" i="9"/>
  <c r="K7" i="9" s="1"/>
  <c r="O30" i="12" l="1"/>
  <c r="Q10" i="7"/>
  <c r="B35" i="11"/>
  <c r="Q10" i="9"/>
  <c r="B22" i="11"/>
  <c r="O9" i="12"/>
  <c r="O23" i="12"/>
  <c r="M38" i="12"/>
  <c r="N38" i="12" s="1"/>
  <c r="J39" i="12"/>
  <c r="L38" i="12"/>
  <c r="O38" i="12" s="1"/>
  <c r="K38" i="12"/>
  <c r="M17" i="12"/>
  <c r="K17" i="12"/>
  <c r="J18" i="12"/>
  <c r="L17" i="12"/>
  <c r="Q12" i="12"/>
  <c r="B12" i="11" s="1"/>
  <c r="M52" i="12"/>
  <c r="N52" i="12"/>
  <c r="L52" i="12"/>
  <c r="J53" i="12"/>
  <c r="O52" i="12"/>
  <c r="K52" i="12"/>
  <c r="J61" i="12"/>
  <c r="O60" i="12"/>
  <c r="N60" i="12"/>
  <c r="K60" i="12"/>
  <c r="M60" i="12"/>
  <c r="L60" i="12"/>
  <c r="J47" i="12"/>
  <c r="K46" i="12"/>
  <c r="O46" i="12"/>
  <c r="L46" i="12"/>
  <c r="N46" i="12"/>
  <c r="M46" i="12"/>
  <c r="L31" i="12"/>
  <c r="O31" i="12" s="1"/>
  <c r="M31" i="12"/>
  <c r="N31" i="12" s="1"/>
  <c r="J32" i="12"/>
  <c r="K31" i="12"/>
  <c r="K24" i="12"/>
  <c r="J25" i="12"/>
  <c r="L24" i="12"/>
  <c r="M24" i="12"/>
  <c r="N24" i="12" s="1"/>
  <c r="M10" i="12"/>
  <c r="N10" i="12" s="1"/>
  <c r="L10" i="12"/>
  <c r="O10" i="12" s="1"/>
  <c r="J11" i="12"/>
  <c r="K10" i="12"/>
  <c r="G16" i="10"/>
  <c r="B18" i="10"/>
  <c r="C17" i="10"/>
  <c r="E17" i="10"/>
  <c r="F17" i="10" s="1"/>
  <c r="J7" i="9"/>
  <c r="J8" i="9" s="1"/>
  <c r="J22" i="9"/>
  <c r="O21" i="9"/>
  <c r="M21" i="9"/>
  <c r="N21" i="9" s="1"/>
  <c r="J14" i="9"/>
  <c r="I14" i="9"/>
  <c r="M35" i="9"/>
  <c r="N35" i="9" s="1"/>
  <c r="J36" i="9"/>
  <c r="M43" i="9"/>
  <c r="J44" i="9"/>
  <c r="L43" i="9"/>
  <c r="O43" i="9"/>
  <c r="K43" i="9"/>
  <c r="J28" i="9"/>
  <c r="I28" i="9"/>
  <c r="O42" i="9"/>
  <c r="M42" i="9"/>
  <c r="N42" i="9" s="1"/>
  <c r="N43" i="9"/>
  <c r="M49" i="9"/>
  <c r="N49" i="9" s="1"/>
  <c r="J50" i="9"/>
  <c r="O49" i="9"/>
  <c r="J56" i="9"/>
  <c r="I56" i="9"/>
  <c r="L56" i="7"/>
  <c r="H56" i="7"/>
  <c r="J56" i="7" s="1"/>
  <c r="G56" i="7"/>
  <c r="K56" i="7" s="1"/>
  <c r="L49" i="7"/>
  <c r="I49" i="7"/>
  <c r="H49" i="7"/>
  <c r="J49" i="7" s="1"/>
  <c r="G49" i="7"/>
  <c r="K49" i="7" s="1"/>
  <c r="L42" i="7"/>
  <c r="G42" i="7"/>
  <c r="K42" i="7" s="1"/>
  <c r="L35" i="7"/>
  <c r="H35" i="7"/>
  <c r="I35" i="7" s="1"/>
  <c r="G35" i="7"/>
  <c r="K35" i="7" s="1"/>
  <c r="L28" i="7"/>
  <c r="H28" i="7"/>
  <c r="G28" i="7"/>
  <c r="K28" i="7" s="1"/>
  <c r="L21" i="7"/>
  <c r="H21" i="7"/>
  <c r="I21" i="7" s="1"/>
  <c r="G21" i="7"/>
  <c r="K21" i="7" s="1"/>
  <c r="L14" i="7"/>
  <c r="H14" i="7"/>
  <c r="G14" i="7"/>
  <c r="K14" i="7" s="1"/>
  <c r="B14" i="7"/>
  <c r="B21" i="7" s="1"/>
  <c r="B28" i="7" s="1"/>
  <c r="B35" i="7" s="1"/>
  <c r="B42" i="7" s="1"/>
  <c r="B49" i="7" s="1"/>
  <c r="B56" i="7" s="1"/>
  <c r="L7" i="7"/>
  <c r="H7" i="7"/>
  <c r="J7" i="7" s="1"/>
  <c r="J8" i="7" s="1"/>
  <c r="G7" i="7"/>
  <c r="K7" i="7" s="1"/>
  <c r="Q11" i="9" l="1"/>
  <c r="B23" i="11"/>
  <c r="Q11" i="7"/>
  <c r="B36" i="11"/>
  <c r="O24" i="12"/>
  <c r="O17" i="12"/>
  <c r="M53" i="12"/>
  <c r="L53" i="12"/>
  <c r="O53" i="12"/>
  <c r="K53" i="12"/>
  <c r="N53" i="12"/>
  <c r="J54" i="12"/>
  <c r="Q13" i="12"/>
  <c r="B13" i="11" s="1"/>
  <c r="J26" i="12"/>
  <c r="K25" i="12"/>
  <c r="M25" i="12"/>
  <c r="N25" i="12" s="1"/>
  <c r="L25" i="12"/>
  <c r="O25" i="12" s="1"/>
  <c r="K47" i="12"/>
  <c r="L47" i="12"/>
  <c r="O47" i="12"/>
  <c r="N47" i="12"/>
  <c r="M47" i="12"/>
  <c r="J40" i="12"/>
  <c r="M39" i="12"/>
  <c r="N39" i="12" s="1"/>
  <c r="L39" i="12"/>
  <c r="O39" i="12" s="1"/>
  <c r="K39" i="12"/>
  <c r="J19" i="12"/>
  <c r="M18" i="12"/>
  <c r="N18" i="12" s="1"/>
  <c r="L18" i="12"/>
  <c r="K18" i="12"/>
  <c r="N17" i="12"/>
  <c r="M11" i="12"/>
  <c r="N11" i="12" s="1"/>
  <c r="J12" i="12"/>
  <c r="L11" i="12"/>
  <c r="K11" i="12"/>
  <c r="O11" i="12"/>
  <c r="M32" i="12"/>
  <c r="N32" i="12" s="1"/>
  <c r="L32" i="12"/>
  <c r="O32" i="12"/>
  <c r="K32" i="12"/>
  <c r="J33" i="12"/>
  <c r="O61" i="12"/>
  <c r="N61" i="12"/>
  <c r="M61" i="12"/>
  <c r="L61" i="12"/>
  <c r="K61" i="12"/>
  <c r="G17" i="10"/>
  <c r="M7" i="9"/>
  <c r="N7" i="9" s="1"/>
  <c r="E18" i="10"/>
  <c r="F18" i="10" s="1"/>
  <c r="B19" i="10"/>
  <c r="C18" i="10"/>
  <c r="K36" i="9"/>
  <c r="M36" i="9"/>
  <c r="N36" i="9" s="1"/>
  <c r="J37" i="9"/>
  <c r="L36" i="9"/>
  <c r="M56" i="9"/>
  <c r="N56" i="9" s="1"/>
  <c r="J57" i="9"/>
  <c r="M28" i="9"/>
  <c r="N28" i="9" s="1"/>
  <c r="J29" i="9"/>
  <c r="O44" i="9"/>
  <c r="K44" i="9"/>
  <c r="N44" i="9"/>
  <c r="M44" i="9"/>
  <c r="J45" i="9"/>
  <c r="L44" i="9"/>
  <c r="K8" i="9"/>
  <c r="M8" i="9"/>
  <c r="J9" i="9"/>
  <c r="N22" i="9"/>
  <c r="M22" i="9"/>
  <c r="J23" i="9"/>
  <c r="L22" i="9"/>
  <c r="O22" i="9" s="1"/>
  <c r="K22" i="9"/>
  <c r="O50" i="9"/>
  <c r="K50" i="9"/>
  <c r="N50" i="9"/>
  <c r="M50" i="9"/>
  <c r="J51" i="9"/>
  <c r="L50" i="9"/>
  <c r="O35" i="9"/>
  <c r="M14" i="9"/>
  <c r="N14" i="9" s="1"/>
  <c r="J15" i="9"/>
  <c r="I56" i="7"/>
  <c r="I7" i="7"/>
  <c r="J21" i="7"/>
  <c r="M21" i="7" s="1"/>
  <c r="N21" i="7" s="1"/>
  <c r="J35" i="7"/>
  <c r="M35" i="7" s="1"/>
  <c r="N35" i="7" s="1"/>
  <c r="M7" i="7"/>
  <c r="N7" i="7" s="1"/>
  <c r="K8" i="7"/>
  <c r="M8" i="7"/>
  <c r="J9" i="7"/>
  <c r="J42" i="7"/>
  <c r="M56" i="7"/>
  <c r="N56" i="7" s="1"/>
  <c r="J28" i="7"/>
  <c r="I28" i="7"/>
  <c r="J14" i="7"/>
  <c r="I14" i="7"/>
  <c r="M49" i="7"/>
  <c r="N49" i="7" s="1"/>
  <c r="J50" i="7"/>
  <c r="O49" i="7"/>
  <c r="J57" i="7"/>
  <c r="Q12" i="7" l="1"/>
  <c r="B37" i="11"/>
  <c r="Q12" i="9"/>
  <c r="B24" i="11"/>
  <c r="O18" i="12"/>
  <c r="Q14" i="12"/>
  <c r="B14" i="11" s="1"/>
  <c r="M12" i="12"/>
  <c r="K12" i="12"/>
  <c r="L12" i="12"/>
  <c r="M40" i="12"/>
  <c r="N40" i="12" s="1"/>
  <c r="L40" i="12"/>
  <c r="O40" i="12" s="1"/>
  <c r="K40" i="12"/>
  <c r="N54" i="12"/>
  <c r="L54" i="12"/>
  <c r="M54" i="12"/>
  <c r="O54" i="12"/>
  <c r="K54" i="12"/>
  <c r="K26" i="12"/>
  <c r="M26" i="12"/>
  <c r="L26" i="12"/>
  <c r="O26" i="12"/>
  <c r="N26" i="12"/>
  <c r="M19" i="12"/>
  <c r="L19" i="12"/>
  <c r="K19" i="12"/>
  <c r="L33" i="12"/>
  <c r="M33" i="12"/>
  <c r="N33" i="12" s="1"/>
  <c r="K33" i="12"/>
  <c r="L8" i="9"/>
  <c r="O8" i="9" s="1"/>
  <c r="N8" i="9"/>
  <c r="O7" i="9"/>
  <c r="O14" i="9"/>
  <c r="G18" i="10"/>
  <c r="E19" i="10"/>
  <c r="F19" i="10" s="1"/>
  <c r="B20" i="10"/>
  <c r="C19" i="10"/>
  <c r="L8" i="7"/>
  <c r="O8" i="7" s="1"/>
  <c r="N8" i="7"/>
  <c r="O36" i="9"/>
  <c r="M37" i="9"/>
  <c r="O37" i="9" s="1"/>
  <c r="J38" i="9"/>
  <c r="L37" i="9"/>
  <c r="K37" i="9"/>
  <c r="N37" i="9"/>
  <c r="O56" i="9"/>
  <c r="M45" i="9"/>
  <c r="J46" i="9"/>
  <c r="L45" i="9"/>
  <c r="O45" i="9"/>
  <c r="K45" i="9"/>
  <c r="N45" i="9"/>
  <c r="M57" i="9"/>
  <c r="N57" i="9" s="1"/>
  <c r="J58" i="9"/>
  <c r="L57" i="9"/>
  <c r="K57" i="9"/>
  <c r="M29" i="9"/>
  <c r="J30" i="9"/>
  <c r="L29" i="9"/>
  <c r="O29" i="9"/>
  <c r="K29" i="9"/>
  <c r="N29" i="9"/>
  <c r="J16" i="9"/>
  <c r="L15" i="9"/>
  <c r="K15" i="9"/>
  <c r="M15" i="9"/>
  <c r="N15" i="9" s="1"/>
  <c r="M51" i="9"/>
  <c r="J52" i="9"/>
  <c r="L51" i="9"/>
  <c r="O51" i="9"/>
  <c r="K51" i="9"/>
  <c r="N51" i="9"/>
  <c r="J24" i="9"/>
  <c r="L23" i="9"/>
  <c r="O23" i="9"/>
  <c r="K23" i="9"/>
  <c r="N23" i="9"/>
  <c r="M23" i="9"/>
  <c r="J10" i="9"/>
  <c r="M9" i="9"/>
  <c r="K9" i="9"/>
  <c r="O28" i="9"/>
  <c r="O56" i="7"/>
  <c r="J36" i="7"/>
  <c r="L36" i="7" s="1"/>
  <c r="J22" i="7"/>
  <c r="M22" i="7" s="1"/>
  <c r="N22" i="7" s="1"/>
  <c r="O7" i="7"/>
  <c r="M9" i="7"/>
  <c r="K9" i="7"/>
  <c r="J10" i="7"/>
  <c r="O50" i="7"/>
  <c r="K50" i="7"/>
  <c r="N50" i="7"/>
  <c r="M50" i="7"/>
  <c r="J51" i="7"/>
  <c r="L50" i="7"/>
  <c r="M28" i="7"/>
  <c r="N28" i="7" s="1"/>
  <c r="J29" i="7"/>
  <c r="N42" i="7"/>
  <c r="J43" i="7"/>
  <c r="M57" i="7"/>
  <c r="J58" i="7"/>
  <c r="L57" i="7"/>
  <c r="O57" i="7"/>
  <c r="K57" i="7"/>
  <c r="N57" i="7"/>
  <c r="O35" i="7"/>
  <c r="M14" i="7"/>
  <c r="N14" i="7" s="1"/>
  <c r="J15" i="7"/>
  <c r="O21" i="7"/>
  <c r="Q13" i="9" l="1"/>
  <c r="B25" i="11"/>
  <c r="L9" i="9"/>
  <c r="N9" i="9"/>
  <c r="Q13" i="7"/>
  <c r="B38" i="11"/>
  <c r="S7" i="12"/>
  <c r="D7" i="11" s="1"/>
  <c r="O19" i="12"/>
  <c r="S9" i="12"/>
  <c r="D9" i="11" s="1"/>
  <c r="T7" i="12"/>
  <c r="E7" i="11" s="1"/>
  <c r="L7" i="11" s="1"/>
  <c r="R10" i="12"/>
  <c r="C10" i="11" s="1"/>
  <c r="J10" i="11" s="1"/>
  <c r="R11" i="12"/>
  <c r="C11" i="11" s="1"/>
  <c r="J11" i="11" s="1"/>
  <c r="T8" i="12"/>
  <c r="E8" i="11" s="1"/>
  <c r="L8" i="11" s="1"/>
  <c r="S12" i="12"/>
  <c r="D12" i="11" s="1"/>
  <c r="S10" i="12"/>
  <c r="D10" i="11" s="1"/>
  <c r="U10" i="12"/>
  <c r="G10" i="11" s="1"/>
  <c r="M10" i="11" s="1"/>
  <c r="N19" i="12"/>
  <c r="T13" i="12" s="1"/>
  <c r="E13" i="11" s="1"/>
  <c r="L13" i="11" s="1"/>
  <c r="T9" i="12"/>
  <c r="E9" i="11" s="1"/>
  <c r="L9" i="11" s="1"/>
  <c r="U8" i="12"/>
  <c r="G8" i="11" s="1"/>
  <c r="M8" i="11" s="1"/>
  <c r="T14" i="12"/>
  <c r="E14" i="11" s="1"/>
  <c r="L14" i="11" s="1"/>
  <c r="S14" i="12"/>
  <c r="D14" i="11" s="1"/>
  <c r="R14" i="12"/>
  <c r="C14" i="11" s="1"/>
  <c r="J14" i="11" s="1"/>
  <c r="Q15" i="12"/>
  <c r="B15" i="11" s="1"/>
  <c r="U14" i="12"/>
  <c r="G14" i="11" s="1"/>
  <c r="M14" i="11" s="1"/>
  <c r="N12" i="12"/>
  <c r="O33" i="12"/>
  <c r="R13" i="12"/>
  <c r="C13" i="11" s="1"/>
  <c r="J13" i="11" s="1"/>
  <c r="T10" i="12"/>
  <c r="E10" i="11" s="1"/>
  <c r="L10" i="11" s="1"/>
  <c r="S13" i="12"/>
  <c r="D13" i="11" s="1"/>
  <c r="R8" i="12"/>
  <c r="C8" i="11" s="1"/>
  <c r="J8" i="11" s="1"/>
  <c r="U11" i="12"/>
  <c r="G11" i="11" s="1"/>
  <c r="M11" i="11" s="1"/>
  <c r="O12" i="12"/>
  <c r="U13" i="12" s="1"/>
  <c r="G13" i="11" s="1"/>
  <c r="M13" i="11" s="1"/>
  <c r="R9" i="12"/>
  <c r="C9" i="11" s="1"/>
  <c r="J9" i="11" s="1"/>
  <c r="R7" i="12"/>
  <c r="C7" i="11" s="1"/>
  <c r="J7" i="11" s="1"/>
  <c r="U7" i="12"/>
  <c r="G7" i="11" s="1"/>
  <c r="M7" i="11" s="1"/>
  <c r="R12" i="12"/>
  <c r="C12" i="11" s="1"/>
  <c r="J12" i="11" s="1"/>
  <c r="S11" i="12"/>
  <c r="D11" i="11" s="1"/>
  <c r="U9" i="12"/>
  <c r="G9" i="11" s="1"/>
  <c r="M9" i="11" s="1"/>
  <c r="S8" i="12"/>
  <c r="D8" i="11" s="1"/>
  <c r="T11" i="12"/>
  <c r="E11" i="11" s="1"/>
  <c r="L11" i="11" s="1"/>
  <c r="N9" i="7"/>
  <c r="L9" i="7"/>
  <c r="O9" i="7" s="1"/>
  <c r="M36" i="7"/>
  <c r="N36" i="7" s="1"/>
  <c r="G19" i="10"/>
  <c r="E20" i="10"/>
  <c r="F20" i="10" s="1"/>
  <c r="B21" i="10"/>
  <c r="C20" i="10"/>
  <c r="O9" i="9"/>
  <c r="K36" i="7"/>
  <c r="J37" i="7"/>
  <c r="M24" i="9"/>
  <c r="N24" i="9" s="1"/>
  <c r="L24" i="9"/>
  <c r="K24" i="9"/>
  <c r="J25" i="9"/>
  <c r="M16" i="9"/>
  <c r="N16" i="9" s="1"/>
  <c r="L16" i="9"/>
  <c r="O16" i="9" s="1"/>
  <c r="J17" i="9"/>
  <c r="K16" i="9"/>
  <c r="K38" i="9"/>
  <c r="M38" i="9"/>
  <c r="N38" i="9" s="1"/>
  <c r="J39" i="9"/>
  <c r="L38" i="9"/>
  <c r="K30" i="9"/>
  <c r="M30" i="9"/>
  <c r="N30" i="9" s="1"/>
  <c r="L30" i="9"/>
  <c r="O30" i="9" s="1"/>
  <c r="J31" i="9"/>
  <c r="O52" i="9"/>
  <c r="K52" i="9"/>
  <c r="N52" i="9"/>
  <c r="M52" i="9"/>
  <c r="J53" i="9"/>
  <c r="L52" i="9"/>
  <c r="O57" i="9"/>
  <c r="O46" i="9"/>
  <c r="K46" i="9"/>
  <c r="N46" i="9"/>
  <c r="M46" i="9"/>
  <c r="L46" i="9"/>
  <c r="J47" i="9"/>
  <c r="J11" i="9"/>
  <c r="K10" i="9"/>
  <c r="L10" i="9"/>
  <c r="M10" i="9"/>
  <c r="O15" i="9"/>
  <c r="K58" i="9"/>
  <c r="N58" i="9"/>
  <c r="M58" i="9"/>
  <c r="J59" i="9"/>
  <c r="L58" i="9"/>
  <c r="O58" i="9" s="1"/>
  <c r="J23" i="7"/>
  <c r="M23" i="7" s="1"/>
  <c r="N23" i="7" s="1"/>
  <c r="K22" i="7"/>
  <c r="L22" i="7"/>
  <c r="O22" i="7" s="1"/>
  <c r="O42" i="7"/>
  <c r="M51" i="7"/>
  <c r="J52" i="7"/>
  <c r="L51" i="7"/>
  <c r="O51" i="7"/>
  <c r="K51" i="7"/>
  <c r="N51" i="7"/>
  <c r="O14" i="7"/>
  <c r="M43" i="7"/>
  <c r="N43" i="7" s="1"/>
  <c r="J44" i="7"/>
  <c r="L43" i="7"/>
  <c r="K43" i="7"/>
  <c r="M15" i="7"/>
  <c r="N15" i="7" s="1"/>
  <c r="J16" i="7"/>
  <c r="L15" i="7"/>
  <c r="K15" i="7"/>
  <c r="K58" i="7"/>
  <c r="M58" i="7"/>
  <c r="N58" i="7" s="1"/>
  <c r="J59" i="7"/>
  <c r="L58" i="7"/>
  <c r="M29" i="7"/>
  <c r="N29" i="7" s="1"/>
  <c r="J30" i="7"/>
  <c r="L29" i="7"/>
  <c r="K29" i="7"/>
  <c r="O28" i="7"/>
  <c r="K10" i="7"/>
  <c r="M10" i="7"/>
  <c r="J11" i="7"/>
  <c r="C16" i="4"/>
  <c r="D10" i="4"/>
  <c r="B16" i="4" s="1"/>
  <c r="E16" i="4" s="1"/>
  <c r="F16" i="4" s="1"/>
  <c r="K14" i="11" l="1"/>
  <c r="D37" i="13"/>
  <c r="K7" i="11"/>
  <c r="K13" i="11"/>
  <c r="D36" i="13"/>
  <c r="K9" i="11"/>
  <c r="D32" i="13"/>
  <c r="K10" i="11"/>
  <c r="D33" i="13"/>
  <c r="K12" i="11"/>
  <c r="D35" i="13"/>
  <c r="K8" i="11"/>
  <c r="D31" i="13"/>
  <c r="K11" i="11"/>
  <c r="D34" i="13"/>
  <c r="Q14" i="7"/>
  <c r="B39" i="11"/>
  <c r="L10" i="7"/>
  <c r="N10" i="7"/>
  <c r="N10" i="9"/>
  <c r="Q14" i="9"/>
  <c r="B26" i="11"/>
  <c r="O36" i="7"/>
  <c r="T12" i="12"/>
  <c r="E12" i="11" s="1"/>
  <c r="L12" i="11" s="1"/>
  <c r="U12" i="12"/>
  <c r="G12" i="11" s="1"/>
  <c r="M12" i="11" s="1"/>
  <c r="U15" i="12"/>
  <c r="G15" i="11" s="1"/>
  <c r="M15" i="11" s="1"/>
  <c r="T15" i="12"/>
  <c r="E15" i="11" s="1"/>
  <c r="L15" i="11" s="1"/>
  <c r="S15" i="12"/>
  <c r="D15" i="11" s="1"/>
  <c r="R15" i="12"/>
  <c r="C15" i="11" s="1"/>
  <c r="J15" i="11" s="1"/>
  <c r="G20" i="10"/>
  <c r="B22" i="10"/>
  <c r="C21" i="10"/>
  <c r="E21" i="10"/>
  <c r="K37" i="7"/>
  <c r="L37" i="7"/>
  <c r="O37" i="7" s="1"/>
  <c r="J38" i="7"/>
  <c r="M37" i="7"/>
  <c r="N37" i="7" s="1"/>
  <c r="O10" i="9"/>
  <c r="O38" i="9"/>
  <c r="O24" i="9"/>
  <c r="K11" i="9"/>
  <c r="L11" i="9"/>
  <c r="J12" i="9"/>
  <c r="M11" i="9"/>
  <c r="M39" i="9"/>
  <c r="J40" i="9"/>
  <c r="L39" i="9"/>
  <c r="K39" i="9"/>
  <c r="N39" i="9"/>
  <c r="M59" i="9"/>
  <c r="N59" i="9" s="1"/>
  <c r="J60" i="9"/>
  <c r="L59" i="9"/>
  <c r="K59" i="9"/>
  <c r="M31" i="9"/>
  <c r="J32" i="9"/>
  <c r="L31" i="9"/>
  <c r="O31" i="9" s="1"/>
  <c r="K31" i="9"/>
  <c r="N31" i="9"/>
  <c r="J26" i="9"/>
  <c r="L25" i="9"/>
  <c r="O25" i="9" s="1"/>
  <c r="K25" i="9"/>
  <c r="N25" i="9"/>
  <c r="M25" i="9"/>
  <c r="M47" i="9"/>
  <c r="L47" i="9"/>
  <c r="O47" i="9"/>
  <c r="K47" i="9"/>
  <c r="N47" i="9"/>
  <c r="M53" i="9"/>
  <c r="J54" i="9"/>
  <c r="L53" i="9"/>
  <c r="O53" i="9"/>
  <c r="K53" i="9"/>
  <c r="N53" i="9"/>
  <c r="J18" i="9"/>
  <c r="L17" i="9"/>
  <c r="K17" i="9"/>
  <c r="M17" i="9"/>
  <c r="N17" i="9" s="1"/>
  <c r="O58" i="7"/>
  <c r="K23" i="7"/>
  <c r="J24" i="7"/>
  <c r="M24" i="7" s="1"/>
  <c r="N24" i="7" s="1"/>
  <c r="L23" i="7"/>
  <c r="O23" i="7" s="1"/>
  <c r="O43" i="7"/>
  <c r="O10" i="7"/>
  <c r="M11" i="7"/>
  <c r="K11" i="7"/>
  <c r="J12" i="7"/>
  <c r="L11" i="7"/>
  <c r="O52" i="7"/>
  <c r="K52" i="7"/>
  <c r="N52" i="7"/>
  <c r="M52" i="7"/>
  <c r="J53" i="7"/>
  <c r="L52" i="7"/>
  <c r="O29" i="7"/>
  <c r="O15" i="7"/>
  <c r="K44" i="7"/>
  <c r="M44" i="7"/>
  <c r="N44" i="7" s="1"/>
  <c r="J45" i="7"/>
  <c r="L44" i="7"/>
  <c r="M59" i="7"/>
  <c r="N59" i="7" s="1"/>
  <c r="J60" i="7"/>
  <c r="L59" i="7"/>
  <c r="K59" i="7"/>
  <c r="K30" i="7"/>
  <c r="M30" i="7"/>
  <c r="N30" i="7" s="1"/>
  <c r="J31" i="7"/>
  <c r="L30" i="7"/>
  <c r="K16" i="7"/>
  <c r="M16" i="7"/>
  <c r="N16" i="7" s="1"/>
  <c r="J17" i="7"/>
  <c r="L16" i="7"/>
  <c r="D11" i="4"/>
  <c r="G16" i="4"/>
  <c r="B17" i="4"/>
  <c r="B17" i="3"/>
  <c r="B18" i="3" s="1"/>
  <c r="I17" i="3"/>
  <c r="D12" i="3"/>
  <c r="D10" i="3"/>
  <c r="D11" i="3" s="1"/>
  <c r="C17" i="3"/>
  <c r="C17" i="1"/>
  <c r="D11" i="1"/>
  <c r="D12" i="1" s="1"/>
  <c r="N11" i="7" l="1"/>
  <c r="K38" i="7"/>
  <c r="K15" i="11"/>
  <c r="D38" i="13"/>
  <c r="D39" i="13"/>
  <c r="Q15" i="9"/>
  <c r="B28" i="11" s="1"/>
  <c r="B27" i="11"/>
  <c r="Q15" i="7"/>
  <c r="B41" i="11" s="1"/>
  <c r="B40" i="11"/>
  <c r="N11" i="9"/>
  <c r="G21" i="10"/>
  <c r="O17" i="9"/>
  <c r="F21" i="10"/>
  <c r="G22" i="10"/>
  <c r="F22" i="10"/>
  <c r="E22" i="10"/>
  <c r="B23" i="10"/>
  <c r="C22" i="10"/>
  <c r="J39" i="7"/>
  <c r="L38" i="7"/>
  <c r="M38" i="7"/>
  <c r="N38" i="7" s="1"/>
  <c r="O11" i="9"/>
  <c r="K24" i="7"/>
  <c r="O39" i="9"/>
  <c r="K32" i="9"/>
  <c r="M32" i="9"/>
  <c r="N32" i="9" s="1"/>
  <c r="J33" i="9"/>
  <c r="L32" i="9"/>
  <c r="O32" i="9" s="1"/>
  <c r="O59" i="9"/>
  <c r="K40" i="9"/>
  <c r="M40" i="9"/>
  <c r="N40" i="9" s="1"/>
  <c r="L40" i="9"/>
  <c r="O40" i="9" s="1"/>
  <c r="M18" i="9"/>
  <c r="N18" i="9" s="1"/>
  <c r="K18" i="9"/>
  <c r="J19" i="9"/>
  <c r="L18" i="9"/>
  <c r="L12" i="9"/>
  <c r="K12" i="9"/>
  <c r="M12" i="9"/>
  <c r="O54" i="9"/>
  <c r="K54" i="9"/>
  <c r="N54" i="9"/>
  <c r="M54" i="9"/>
  <c r="L54" i="9"/>
  <c r="K60" i="9"/>
  <c r="N60" i="9"/>
  <c r="M60" i="9"/>
  <c r="J61" i="9"/>
  <c r="L60" i="9"/>
  <c r="O60" i="9" s="1"/>
  <c r="M26" i="9"/>
  <c r="N26" i="9" s="1"/>
  <c r="O26" i="9"/>
  <c r="L26" i="9"/>
  <c r="K26" i="9"/>
  <c r="O59" i="7"/>
  <c r="O30" i="7"/>
  <c r="L24" i="7"/>
  <c r="O24" i="7" s="1"/>
  <c r="J25" i="7"/>
  <c r="M25" i="7" s="1"/>
  <c r="N25" i="7" s="1"/>
  <c r="O44" i="7"/>
  <c r="O11" i="7"/>
  <c r="O16" i="7"/>
  <c r="K12" i="7"/>
  <c r="M12" i="7"/>
  <c r="N12" i="7" s="1"/>
  <c r="L12" i="7"/>
  <c r="M31" i="7"/>
  <c r="J32" i="7"/>
  <c r="L31" i="7"/>
  <c r="K31" i="7"/>
  <c r="M45" i="7"/>
  <c r="N45" i="7" s="1"/>
  <c r="J46" i="7"/>
  <c r="L45" i="7"/>
  <c r="K45" i="7"/>
  <c r="M53" i="7"/>
  <c r="J54" i="7"/>
  <c r="L53" i="7"/>
  <c r="O53" i="7"/>
  <c r="K53" i="7"/>
  <c r="N53" i="7"/>
  <c r="K60" i="7"/>
  <c r="M60" i="7"/>
  <c r="N60" i="7" s="1"/>
  <c r="J61" i="7"/>
  <c r="L60" i="7"/>
  <c r="O60" i="7" s="1"/>
  <c r="M17" i="7"/>
  <c r="J18" i="7"/>
  <c r="L17" i="7"/>
  <c r="K17" i="7"/>
  <c r="B18" i="4"/>
  <c r="C17" i="4"/>
  <c r="E17" i="4"/>
  <c r="F17" i="4" s="1"/>
  <c r="B19" i="3"/>
  <c r="B20" i="3" s="1"/>
  <c r="B21" i="3" s="1"/>
  <c r="B22" i="3" s="1"/>
  <c r="B23" i="3" s="1"/>
  <c r="B24" i="3" s="1"/>
  <c r="B25" i="3" s="1"/>
  <c r="B26" i="3" s="1"/>
  <c r="I18" i="3"/>
  <c r="H18" i="3" s="1"/>
  <c r="H17" i="3"/>
  <c r="E17" i="3" s="1"/>
  <c r="B17" i="1"/>
  <c r="K39" i="7" l="1"/>
  <c r="N12" i="9"/>
  <c r="J40" i="7"/>
  <c r="K40" i="7" s="1"/>
  <c r="M39" i="7"/>
  <c r="N39" i="7" s="1"/>
  <c r="O38" i="7"/>
  <c r="O18" i="9"/>
  <c r="F23" i="10"/>
  <c r="E23" i="10"/>
  <c r="B24" i="10"/>
  <c r="C23" i="10"/>
  <c r="G23" i="10"/>
  <c r="L39" i="7"/>
  <c r="K25" i="7"/>
  <c r="O12" i="9"/>
  <c r="M61" i="9"/>
  <c r="L61" i="9"/>
  <c r="O61" i="9"/>
  <c r="K61" i="9"/>
  <c r="N61" i="9"/>
  <c r="L19" i="9"/>
  <c r="K19" i="9"/>
  <c r="M19" i="9"/>
  <c r="N19" i="9" s="1"/>
  <c r="M33" i="9"/>
  <c r="N33" i="9" s="1"/>
  <c r="L33" i="9"/>
  <c r="O33" i="9" s="1"/>
  <c r="K33" i="9"/>
  <c r="J26" i="7"/>
  <c r="M26" i="7" s="1"/>
  <c r="N26" i="7" s="1"/>
  <c r="O31" i="7"/>
  <c r="L25" i="7"/>
  <c r="O25" i="7" s="1"/>
  <c r="O45" i="7"/>
  <c r="O17" i="7"/>
  <c r="N31" i="7"/>
  <c r="N17" i="7"/>
  <c r="B18" i="1"/>
  <c r="B19" i="1" s="1"/>
  <c r="E17" i="1"/>
  <c r="F17" i="1" s="1"/>
  <c r="O12" i="7"/>
  <c r="O54" i="7"/>
  <c r="K54" i="7"/>
  <c r="N54" i="7"/>
  <c r="M54" i="7"/>
  <c r="L54" i="7"/>
  <c r="K46" i="7"/>
  <c r="M46" i="7"/>
  <c r="N46" i="7" s="1"/>
  <c r="L46" i="7"/>
  <c r="J47" i="7"/>
  <c r="K18" i="7"/>
  <c r="M18" i="7"/>
  <c r="J19" i="7"/>
  <c r="L18" i="7"/>
  <c r="K32" i="7"/>
  <c r="M32" i="7"/>
  <c r="J33" i="7"/>
  <c r="L32" i="7"/>
  <c r="M61" i="7"/>
  <c r="O61" i="7" s="1"/>
  <c r="L61" i="7"/>
  <c r="K61" i="7"/>
  <c r="N61" i="7"/>
  <c r="G17" i="4"/>
  <c r="B19" i="4"/>
  <c r="C18" i="4"/>
  <c r="E18" i="4"/>
  <c r="F18" i="4" s="1"/>
  <c r="I19" i="3"/>
  <c r="I20" i="3" s="1"/>
  <c r="O19" i="9" l="1"/>
  <c r="M40" i="7"/>
  <c r="T13" i="9"/>
  <c r="E26" i="11" s="1"/>
  <c r="L40" i="7"/>
  <c r="O39" i="7"/>
  <c r="E18" i="1"/>
  <c r="F18" i="1" s="1"/>
  <c r="E24" i="10"/>
  <c r="B25" i="10"/>
  <c r="C24" i="10"/>
  <c r="G24" i="10"/>
  <c r="F24" i="10"/>
  <c r="T15" i="9"/>
  <c r="E28" i="11" s="1"/>
  <c r="R14" i="9"/>
  <c r="C27" i="11" s="1"/>
  <c r="S15" i="9"/>
  <c r="D28" i="11" s="1"/>
  <c r="H38" i="13" s="1"/>
  <c r="K26" i="7"/>
  <c r="R13" i="9"/>
  <c r="C26" i="11" s="1"/>
  <c r="U15" i="9"/>
  <c r="G28" i="11" s="1"/>
  <c r="U13" i="9"/>
  <c r="G26" i="11" s="1"/>
  <c r="S13" i="9"/>
  <c r="D26" i="11" s="1"/>
  <c r="H36" i="13" s="1"/>
  <c r="U14" i="9"/>
  <c r="G27" i="11" s="1"/>
  <c r="R15" i="9"/>
  <c r="C28" i="11" s="1"/>
  <c r="S14" i="9"/>
  <c r="D27" i="11" s="1"/>
  <c r="H37" i="13" s="1"/>
  <c r="T14" i="9"/>
  <c r="E27" i="11" s="1"/>
  <c r="N18" i="7"/>
  <c r="L26" i="7"/>
  <c r="O26" i="7" s="1"/>
  <c r="N32" i="7"/>
  <c r="O46" i="7"/>
  <c r="O32" i="7"/>
  <c r="O18" i="7"/>
  <c r="N40" i="7"/>
  <c r="O40" i="7"/>
  <c r="M33" i="7"/>
  <c r="L33" i="7"/>
  <c r="K33" i="7"/>
  <c r="M19" i="7"/>
  <c r="L19" i="7"/>
  <c r="K19" i="7"/>
  <c r="N47" i="7"/>
  <c r="L47" i="7"/>
  <c r="K47" i="7"/>
  <c r="C36" i="11" s="1"/>
  <c r="G18" i="4"/>
  <c r="C19" i="4"/>
  <c r="E19" i="4"/>
  <c r="F19" i="4" s="1"/>
  <c r="B20" i="4"/>
  <c r="I21" i="3"/>
  <c r="H21" i="3" s="1"/>
  <c r="H19" i="3"/>
  <c r="H20" i="3"/>
  <c r="G17" i="1"/>
  <c r="C18" i="1"/>
  <c r="C19" i="1" s="1"/>
  <c r="E19" i="1"/>
  <c r="B20" i="1"/>
  <c r="R7" i="7" l="1"/>
  <c r="N19" i="7"/>
  <c r="B26" i="10"/>
  <c r="C25" i="10"/>
  <c r="G25" i="10"/>
  <c r="F25" i="10"/>
  <c r="E25" i="10"/>
  <c r="T14" i="7"/>
  <c r="E40" i="11" s="1"/>
  <c r="L27" i="11" s="1"/>
  <c r="L40" i="11" s="1"/>
  <c r="U14" i="7"/>
  <c r="G40" i="11" s="1"/>
  <c r="M27" i="11" s="1"/>
  <c r="S15" i="7"/>
  <c r="D41" i="11" s="1"/>
  <c r="S13" i="7"/>
  <c r="D39" i="11" s="1"/>
  <c r="T15" i="7"/>
  <c r="E41" i="11" s="1"/>
  <c r="L28" i="11" s="1"/>
  <c r="L41" i="11" s="1"/>
  <c r="T13" i="7"/>
  <c r="E39" i="11" s="1"/>
  <c r="L26" i="11" s="1"/>
  <c r="L39" i="11" s="1"/>
  <c r="R15" i="7"/>
  <c r="C41" i="11" s="1"/>
  <c r="J28" i="11" s="1"/>
  <c r="J41" i="11" s="1"/>
  <c r="R14" i="7"/>
  <c r="C40" i="11" s="1"/>
  <c r="J27" i="11" s="1"/>
  <c r="J40" i="11" s="1"/>
  <c r="R13" i="7"/>
  <c r="C39" i="11" s="1"/>
  <c r="J26" i="11" s="1"/>
  <c r="J39" i="11" s="1"/>
  <c r="S14" i="7"/>
  <c r="D40" i="11" s="1"/>
  <c r="U13" i="7"/>
  <c r="G39" i="11" s="1"/>
  <c r="M26" i="11" s="1"/>
  <c r="S12" i="9"/>
  <c r="D25" i="11" s="1"/>
  <c r="H35" i="13" s="1"/>
  <c r="U7" i="9"/>
  <c r="G20" i="11" s="1"/>
  <c r="T8" i="9"/>
  <c r="E21" i="11" s="1"/>
  <c r="R7" i="9"/>
  <c r="C20" i="11" s="1"/>
  <c r="S7" i="9"/>
  <c r="D20" i="11" s="1"/>
  <c r="H30" i="13" s="1"/>
  <c r="R8" i="9"/>
  <c r="C21" i="11" s="1"/>
  <c r="U9" i="9"/>
  <c r="G22" i="11" s="1"/>
  <c r="S8" i="9"/>
  <c r="D21" i="11" s="1"/>
  <c r="H31" i="13" s="1"/>
  <c r="T7" i="9"/>
  <c r="E20" i="11" s="1"/>
  <c r="U11" i="9"/>
  <c r="G24" i="11" s="1"/>
  <c r="R12" i="9"/>
  <c r="C25" i="11" s="1"/>
  <c r="R9" i="9"/>
  <c r="C22" i="11" s="1"/>
  <c r="T10" i="9"/>
  <c r="E23" i="11" s="1"/>
  <c r="S11" i="9"/>
  <c r="D24" i="11" s="1"/>
  <c r="H34" i="13" s="1"/>
  <c r="T11" i="9"/>
  <c r="E24" i="11" s="1"/>
  <c r="T12" i="9"/>
  <c r="E25" i="11" s="1"/>
  <c r="U8" i="9"/>
  <c r="G21" i="11" s="1"/>
  <c r="S9" i="9"/>
  <c r="D22" i="11" s="1"/>
  <c r="H32" i="13" s="1"/>
  <c r="U12" i="9"/>
  <c r="G25" i="11" s="1"/>
  <c r="R11" i="9"/>
  <c r="C24" i="11" s="1"/>
  <c r="U10" i="9"/>
  <c r="G23" i="11" s="1"/>
  <c r="S10" i="9"/>
  <c r="D23" i="11" s="1"/>
  <c r="H33" i="13" s="1"/>
  <c r="R10" i="9"/>
  <c r="C23" i="11" s="1"/>
  <c r="T9" i="9"/>
  <c r="E22" i="11" s="1"/>
  <c r="N33" i="7"/>
  <c r="O33" i="7"/>
  <c r="O19" i="7"/>
  <c r="F19" i="1"/>
  <c r="O47" i="7"/>
  <c r="U15" i="7" s="1"/>
  <c r="G41" i="11" s="1"/>
  <c r="M28" i="11" s="1"/>
  <c r="G19" i="4"/>
  <c r="E20" i="4"/>
  <c r="F20" i="4" s="1"/>
  <c r="B21" i="4"/>
  <c r="C20" i="4"/>
  <c r="I22" i="3"/>
  <c r="I23" i="3" s="1"/>
  <c r="G18" i="1"/>
  <c r="E20" i="1"/>
  <c r="B21" i="1"/>
  <c r="C20" i="1"/>
  <c r="G19" i="1"/>
  <c r="H39" i="13" l="1"/>
  <c r="I30" i="13"/>
  <c r="I31" i="13" s="1"/>
  <c r="I32" i="13" s="1"/>
  <c r="I33" i="13" s="1"/>
  <c r="I34" i="13" s="1"/>
  <c r="I35" i="13" s="1"/>
  <c r="I36" i="13" s="1"/>
  <c r="I37" i="13" s="1"/>
  <c r="I38" i="13" s="1"/>
  <c r="K26" i="11"/>
  <c r="K39" i="11" s="1"/>
  <c r="L36" i="13"/>
  <c r="P36" i="13" s="1"/>
  <c r="K28" i="11"/>
  <c r="K41" i="11" s="1"/>
  <c r="L38" i="13"/>
  <c r="P38" i="13" s="1"/>
  <c r="K27" i="11"/>
  <c r="K40" i="11" s="1"/>
  <c r="L37" i="13"/>
  <c r="P37" i="13" s="1"/>
  <c r="M40" i="11"/>
  <c r="F40" i="11" s="1"/>
  <c r="F27" i="11"/>
  <c r="M39" i="11"/>
  <c r="F13" i="11" s="1"/>
  <c r="M41" i="11"/>
  <c r="F15" i="11" s="1"/>
  <c r="F20" i="1"/>
  <c r="G26" i="10"/>
  <c r="F26" i="10"/>
  <c r="E26" i="10"/>
  <c r="C26" i="10"/>
  <c r="T8" i="7"/>
  <c r="E34" i="11" s="1"/>
  <c r="L21" i="11" s="1"/>
  <c r="L34" i="11" s="1"/>
  <c r="R9" i="7"/>
  <c r="C35" i="11" s="1"/>
  <c r="J22" i="11" s="1"/>
  <c r="J35" i="11" s="1"/>
  <c r="T9" i="7"/>
  <c r="E35" i="11" s="1"/>
  <c r="L22" i="11" s="1"/>
  <c r="L35" i="11" s="1"/>
  <c r="S12" i="7"/>
  <c r="D38" i="11" s="1"/>
  <c r="E36" i="11"/>
  <c r="L23" i="11" s="1"/>
  <c r="L36" i="11" s="1"/>
  <c r="S8" i="7"/>
  <c r="D34" i="11" s="1"/>
  <c r="R8" i="7"/>
  <c r="C34" i="11" s="1"/>
  <c r="J21" i="11" s="1"/>
  <c r="J34" i="11" s="1"/>
  <c r="U12" i="7"/>
  <c r="G38" i="11" s="1"/>
  <c r="M25" i="11" s="1"/>
  <c r="T12" i="7"/>
  <c r="E38" i="11" s="1"/>
  <c r="L25" i="11" s="1"/>
  <c r="L38" i="11" s="1"/>
  <c r="T7" i="7"/>
  <c r="E33" i="11" s="1"/>
  <c r="L20" i="11" s="1"/>
  <c r="L33" i="11" s="1"/>
  <c r="S7" i="7"/>
  <c r="D33" i="11" s="1"/>
  <c r="U8" i="7"/>
  <c r="G34" i="11" s="1"/>
  <c r="M21" i="11" s="1"/>
  <c r="R12" i="7"/>
  <c r="C38" i="11" s="1"/>
  <c r="J25" i="11" s="1"/>
  <c r="J38" i="11" s="1"/>
  <c r="R11" i="7"/>
  <c r="C37" i="11" s="1"/>
  <c r="J24" i="11" s="1"/>
  <c r="J37" i="11" s="1"/>
  <c r="U10" i="7"/>
  <c r="G36" i="11" s="1"/>
  <c r="M23" i="11" s="1"/>
  <c r="C33" i="11"/>
  <c r="J20" i="11" s="1"/>
  <c r="J33" i="11" s="1"/>
  <c r="U7" i="7"/>
  <c r="G33" i="11" s="1"/>
  <c r="M20" i="11" s="1"/>
  <c r="M33" i="11" s="1"/>
  <c r="T11" i="7"/>
  <c r="E37" i="11" s="1"/>
  <c r="L24" i="11" s="1"/>
  <c r="L37" i="11" s="1"/>
  <c r="U9" i="7"/>
  <c r="G35" i="11" s="1"/>
  <c r="M22" i="11" s="1"/>
  <c r="J23" i="11"/>
  <c r="J36" i="11" s="1"/>
  <c r="D36" i="11"/>
  <c r="S11" i="7"/>
  <c r="D37" i="11" s="1"/>
  <c r="U11" i="7"/>
  <c r="G37" i="11" s="1"/>
  <c r="M24" i="11" s="1"/>
  <c r="S9" i="7"/>
  <c r="D35" i="11" s="1"/>
  <c r="G20" i="4"/>
  <c r="B22" i="4"/>
  <c r="C21" i="4"/>
  <c r="E21" i="4"/>
  <c r="H23" i="3"/>
  <c r="H22" i="3"/>
  <c r="E21" i="1"/>
  <c r="B22" i="1"/>
  <c r="C21" i="1"/>
  <c r="G20" i="1"/>
  <c r="F41" i="11" l="1"/>
  <c r="F28" i="11"/>
  <c r="F39" i="11"/>
  <c r="F26" i="11"/>
  <c r="K20" i="11"/>
  <c r="K33" i="11" s="1"/>
  <c r="L30" i="13"/>
  <c r="P30" i="13" s="1"/>
  <c r="K24" i="11"/>
  <c r="K37" i="11" s="1"/>
  <c r="L34" i="13"/>
  <c r="P34" i="13" s="1"/>
  <c r="K23" i="11"/>
  <c r="K36" i="11" s="1"/>
  <c r="L33" i="13"/>
  <c r="P33" i="13" s="1"/>
  <c r="K22" i="11"/>
  <c r="K35" i="11" s="1"/>
  <c r="L32" i="13"/>
  <c r="P32" i="13" s="1"/>
  <c r="K21" i="11"/>
  <c r="K34" i="11" s="1"/>
  <c r="L31" i="13"/>
  <c r="P31" i="13" s="1"/>
  <c r="K25" i="11"/>
  <c r="K38" i="11" s="1"/>
  <c r="L35" i="13"/>
  <c r="P35" i="13" s="1"/>
  <c r="M36" i="11"/>
  <c r="F10" i="11" s="1"/>
  <c r="M34" i="11"/>
  <c r="F34" i="11" s="1"/>
  <c r="M38" i="11"/>
  <c r="F25" i="11" s="1"/>
  <c r="F21" i="1"/>
  <c r="M35" i="11"/>
  <c r="F22" i="11" s="1"/>
  <c r="F33" i="11"/>
  <c r="F20" i="11"/>
  <c r="F7" i="11"/>
  <c r="M37" i="11"/>
  <c r="F24" i="11" s="1"/>
  <c r="F14" i="11"/>
  <c r="G21" i="4"/>
  <c r="F21" i="4"/>
  <c r="E22" i="4"/>
  <c r="F22" i="4" s="1"/>
  <c r="B23" i="4"/>
  <c r="C22" i="4"/>
  <c r="G22" i="4" s="1"/>
  <c r="I24" i="3"/>
  <c r="H24" i="3" s="1"/>
  <c r="B23" i="1"/>
  <c r="E22" i="1"/>
  <c r="C22" i="1"/>
  <c r="G21" i="1"/>
  <c r="L39" i="13" l="1"/>
  <c r="M30" i="13"/>
  <c r="M31" i="13" s="1"/>
  <c r="P39" i="13"/>
  <c r="F37" i="11"/>
  <c r="F9" i="11"/>
  <c r="F38" i="11"/>
  <c r="F12" i="11"/>
  <c r="F8" i="11"/>
  <c r="F22" i="1"/>
  <c r="F35" i="11"/>
  <c r="F23" i="11"/>
  <c r="F11" i="11"/>
  <c r="F21" i="11"/>
  <c r="F36" i="11"/>
  <c r="B24" i="4"/>
  <c r="E23" i="4"/>
  <c r="F23" i="4" s="1"/>
  <c r="C23" i="4"/>
  <c r="I25" i="3"/>
  <c r="G22" i="1"/>
  <c r="C23" i="1"/>
  <c r="B24" i="1"/>
  <c r="B25" i="1" s="1"/>
  <c r="E23" i="1"/>
  <c r="M32" i="13" l="1"/>
  <c r="G23" i="4"/>
  <c r="E24" i="4"/>
  <c r="G24" i="4" s="1"/>
  <c r="B25" i="4"/>
  <c r="C24" i="4"/>
  <c r="I26" i="3"/>
  <c r="H26" i="3" s="1"/>
  <c r="H25" i="3"/>
  <c r="G23" i="1"/>
  <c r="F23" i="1"/>
  <c r="B26" i="1"/>
  <c r="B27" i="1" s="1"/>
  <c r="E25" i="1"/>
  <c r="E24" i="1"/>
  <c r="C24" i="1"/>
  <c r="M33" i="13" l="1"/>
  <c r="M34" i="13" s="1"/>
  <c r="M35" i="13" s="1"/>
  <c r="M36" i="13" s="1"/>
  <c r="M37" i="13" s="1"/>
  <c r="M38" i="13" s="1"/>
  <c r="F24" i="4"/>
  <c r="B26" i="4"/>
  <c r="C25" i="4"/>
  <c r="G25" i="4" s="1"/>
  <c r="F25" i="4"/>
  <c r="E25" i="4"/>
  <c r="E27" i="1"/>
  <c r="F24" i="1"/>
  <c r="F25" i="1" s="1"/>
  <c r="G24" i="1"/>
  <c r="C25" i="1"/>
  <c r="G25" i="1" s="1"/>
  <c r="E26" i="1"/>
  <c r="C26" i="4" l="1"/>
  <c r="E26" i="4"/>
  <c r="F26" i="4" s="1"/>
  <c r="F26" i="1"/>
  <c r="F27" i="1" s="1"/>
  <c r="C26" i="1"/>
  <c r="C27" i="1" s="1"/>
  <c r="G27" i="1" s="1"/>
  <c r="G26" i="4" l="1"/>
  <c r="G26" i="1"/>
  <c r="G17" i="3" l="1"/>
  <c r="F17" i="3" l="1"/>
  <c r="C18" i="3"/>
  <c r="E18" i="3" s="1"/>
  <c r="F18" i="3" l="1"/>
  <c r="G18" i="3"/>
  <c r="C19" i="3"/>
  <c r="E19" i="3" s="1"/>
  <c r="F19" i="3" l="1"/>
  <c r="C20" i="3"/>
  <c r="G19" i="3"/>
  <c r="E20" i="3" l="1"/>
  <c r="G20" i="3" s="1"/>
  <c r="C21" i="3" l="1"/>
  <c r="E21" i="3" s="1"/>
  <c r="F20" i="3"/>
  <c r="F21" i="3" l="1"/>
  <c r="C22" i="3"/>
  <c r="E22" i="3" s="1"/>
  <c r="G21" i="3"/>
  <c r="F22" i="3" l="1"/>
  <c r="C23" i="3"/>
  <c r="G22" i="3"/>
  <c r="E23" i="3" l="1"/>
  <c r="F23" i="3" s="1"/>
  <c r="C24" i="3" l="1"/>
  <c r="E24" i="3" s="1"/>
  <c r="G24" i="3" s="1"/>
  <c r="G23" i="3"/>
  <c r="C25" i="3" l="1"/>
  <c r="F24" i="3"/>
  <c r="E25" i="3"/>
  <c r="F25" i="3" s="1"/>
  <c r="G25" i="3" l="1"/>
  <c r="C26" i="3"/>
  <c r="E26" i="3" l="1"/>
  <c r="F26" i="3" s="1"/>
  <c r="G26" i="3" l="1"/>
  <c r="I8" i="13"/>
  <c r="E29" i="13" s="1"/>
  <c r="Q29" i="13" s="1"/>
  <c r="Q30" i="13" s="1"/>
  <c r="L8" i="13"/>
  <c r="E31" i="13" l="1"/>
  <c r="E32" i="13" s="1"/>
  <c r="Q32" i="13" s="1"/>
  <c r="Q31" i="13"/>
  <c r="E33" i="13" l="1"/>
  <c r="Q33" i="13" l="1"/>
  <c r="E34" i="13"/>
  <c r="E35" i="13" l="1"/>
  <c r="Q34" i="13"/>
  <c r="E36" i="13" l="1"/>
  <c r="Q36" i="13" s="1"/>
  <c r="Q35" i="13"/>
  <c r="E37" i="13" l="1"/>
  <c r="Q37" i="13" s="1"/>
  <c r="E38" i="13" l="1"/>
  <c r="Q38" i="13" s="1"/>
</calcChain>
</file>

<file path=xl/sharedStrings.xml><?xml version="1.0" encoding="utf-8"?>
<sst xmlns="http://schemas.openxmlformats.org/spreadsheetml/2006/main" count="496" uniqueCount="149">
  <si>
    <t>Amortissement Lineaire</t>
  </si>
  <si>
    <t>Valeur du bien</t>
  </si>
  <si>
    <t>Nombre d'années d'amortissement</t>
  </si>
  <si>
    <t>Date d'acquisition (jj/mm/aaa)</t>
  </si>
  <si>
    <t>Date de début d'exercice* (jj/mm/aaaa)</t>
  </si>
  <si>
    <t>Durée d'utilisation 1ère année</t>
  </si>
  <si>
    <t>Durée d'utilisation dernière année</t>
  </si>
  <si>
    <t>*Date complète de début d'exercice de l'année d'acquisition de l'immobilisation. Doit être avant la date d'acquisition de l'immobilisation</t>
  </si>
  <si>
    <t>Tableau D'amortissement Linéaire</t>
  </si>
  <si>
    <t>Année</t>
  </si>
  <si>
    <t>Valeur comptable Début d'exercice</t>
  </si>
  <si>
    <t>Annuité d'amortissement</t>
  </si>
  <si>
    <t>Amortissements cumulés</t>
  </si>
  <si>
    <t>Valeur nette comptable en fin d'exercice</t>
  </si>
  <si>
    <t>Tableau D'amortissement Dégressif</t>
  </si>
  <si>
    <t>Taux d'amortissement dégressif</t>
  </si>
  <si>
    <t>Nb mois d'utilisation 1ère année</t>
  </si>
  <si>
    <t xml:space="preserve">Si votre année fiscale ne commence pas au 1er janvier, inscrivez manuellement le nombre de mois d'utilisation de votre immobilisation. </t>
  </si>
  <si>
    <t>Nb années d'amortissement</t>
  </si>
  <si>
    <t>Mois d'acquisiton</t>
  </si>
  <si>
    <t>Coef à appliquer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</si>
  <si>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</si>
  <si>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</si>
  <si>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</si>
  <si>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</si>
  <si>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</si>
  <si>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</si>
  <si>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</si>
  <si>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</si>
  <si>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</si>
  <si>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</si>
  <si>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</si>
  <si>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</si>
  <si>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Coeficient D'amortissement</t>
  </si>
  <si>
    <t>Durée d'amortissement</t>
  </si>
  <si>
    <t>égale à 3 ou 4 ans</t>
  </si>
  <si>
    <t>ègale à 5 ou 6 ans</t>
  </si>
  <si>
    <t>Supérieure à 6 ans</t>
  </si>
  <si>
    <t>Taux linéaire</t>
  </si>
  <si>
    <t>Nombre d'années restantes</t>
  </si>
  <si>
    <t>NEW LIFE Sàrl</t>
  </si>
  <si>
    <t>Car Avenue - Luxembourg</t>
  </si>
  <si>
    <t>Nombre années amortissement</t>
  </si>
  <si>
    <t>Date acquisition</t>
  </si>
  <si>
    <t>Date début exercise</t>
  </si>
  <si>
    <t>Durée utilisation 1er année</t>
  </si>
  <si>
    <t>Durée utilisation dernière année</t>
  </si>
  <si>
    <t>Nr</t>
  </si>
  <si>
    <t>Valeur comptable début d'exercise</t>
  </si>
  <si>
    <t>Nr années</t>
  </si>
  <si>
    <t>Idrosanitaria Piave - Italie</t>
  </si>
  <si>
    <t>SME S.p.A. - Italie</t>
  </si>
  <si>
    <t>IKEA Arlon - Belgique</t>
  </si>
  <si>
    <t>Bureautique</t>
  </si>
  <si>
    <t>Vehicule moteur</t>
  </si>
  <si>
    <t>NEW LIFE Sàrl - Luxembourg</t>
  </si>
  <si>
    <t>Tableau d'Amortissement Linéaire</t>
  </si>
  <si>
    <t>Amortissement Linéaire</t>
  </si>
  <si>
    <t>Valeur du bien **</t>
  </si>
  <si>
    <t>Détails de L'immobilisation</t>
  </si>
  <si>
    <t>Valeur du bien *</t>
  </si>
  <si>
    <t>* Doit être la valeur hors TVA du bien acheté</t>
  </si>
  <si>
    <t>** Doit être la valeur hors TVA du bien acheté</t>
  </si>
  <si>
    <t>* Date complète de début d'exercice de l'année d'acquisition de l'immobilisation. Doit être avant la date d'acquisition de l'immobilisation</t>
  </si>
  <si>
    <t>Date de début d'exercice * (jj/mm/aaaa)</t>
  </si>
  <si>
    <t>TOTALI</t>
  </si>
  <si>
    <t>VEHICULES MOTEUR</t>
  </si>
  <si>
    <t>Car Avenue Peugeot Luxembourg</t>
  </si>
  <si>
    <t>MOBILIER</t>
  </si>
  <si>
    <t>SOFTWARE</t>
  </si>
  <si>
    <t>Pak Man - Hong Kong</t>
  </si>
  <si>
    <t>21 - IMMOBILISATIONS INCORPORELLES</t>
  </si>
  <si>
    <t>22 - IMMOBILISATIONS CORPORELLES</t>
  </si>
  <si>
    <t>2232 - VEHICULES DE TRANSPORT</t>
  </si>
  <si>
    <t>2234 - MOBILIER</t>
  </si>
  <si>
    <t>TOTAL IMMOBILISATIONS</t>
  </si>
  <si>
    <t>Prix d'acquisition hors TVA</t>
  </si>
  <si>
    <t>TVA</t>
  </si>
  <si>
    <t>Prix d'acquisition TTC</t>
  </si>
  <si>
    <t>Paksi Company</t>
  </si>
  <si>
    <t>Software</t>
  </si>
  <si>
    <t>INTR - INV</t>
  </si>
  <si>
    <t>04/2023</t>
  </si>
  <si>
    <t>RIMBORSO</t>
  </si>
  <si>
    <t>17-2023</t>
  </si>
  <si>
    <t>COSTI</t>
  </si>
  <si>
    <t>Car Avenue - Peugeot</t>
  </si>
  <si>
    <t>Voitures</t>
  </si>
  <si>
    <t>LUX - INV</t>
  </si>
  <si>
    <t>FATTURE</t>
  </si>
  <si>
    <t>Administration</t>
  </si>
  <si>
    <t>Prime d'état</t>
  </si>
  <si>
    <t>MEUBLES</t>
  </si>
  <si>
    <t>Meubles</t>
  </si>
  <si>
    <t>03/2022</t>
  </si>
  <si>
    <t>11-2022</t>
  </si>
  <si>
    <t>SME S.p.A.</t>
  </si>
  <si>
    <t>IKEA Arlon</t>
  </si>
  <si>
    <t>AMORTISSEMENT SOFTWARE</t>
  </si>
  <si>
    <t>AMORTISSEMENT VEHICULES</t>
  </si>
  <si>
    <t>AMORTISSEMENT MEUBLES</t>
  </si>
  <si>
    <t>AMORTISSEMENT TOTAL</t>
  </si>
  <si>
    <t>B</t>
  </si>
  <si>
    <t>02/2024</t>
  </si>
  <si>
    <t>19-2024</t>
  </si>
  <si>
    <t>211 - FRAIS DE DEVELOPPEMENT</t>
  </si>
  <si>
    <t>TOTAUX</t>
  </si>
  <si>
    <t>NR</t>
  </si>
  <si>
    <t>Désignation du bien</t>
  </si>
  <si>
    <t>Date</t>
  </si>
  <si>
    <t>Valeur</t>
  </si>
  <si>
    <t>Taux</t>
  </si>
  <si>
    <t>/12</t>
  </si>
  <si>
    <t>Acquisitions</t>
  </si>
  <si>
    <t>Ventes</t>
  </si>
  <si>
    <t>Amortissements</t>
  </si>
  <si>
    <t>Bén/Perte</t>
  </si>
  <si>
    <t>d'acquisition</t>
  </si>
  <si>
    <t>à amortir</t>
  </si>
  <si>
    <t>%</t>
  </si>
  <si>
    <t>début</t>
  </si>
  <si>
    <t>de l'année</t>
  </si>
  <si>
    <t>fin</t>
  </si>
  <si>
    <t>s/ventes</t>
  </si>
  <si>
    <t>No fiscal : 1980 2403 189</t>
  </si>
  <si>
    <t>nom : NEW LIFE Sàrl</t>
  </si>
  <si>
    <t>TABLEAU D'AMORTISSEMENT : 2024</t>
  </si>
  <si>
    <t>IMMOBILISE CORPOREL</t>
  </si>
  <si>
    <t>IMMOBILISE INCORPOREL</t>
  </si>
  <si>
    <t>Installation bureau</t>
  </si>
  <si>
    <t>Voiture Peugeot</t>
  </si>
  <si>
    <t>Bureautique, Software</t>
  </si>
  <si>
    <t>14.02.2022</t>
  </si>
  <si>
    <t>13.04.2022</t>
  </si>
  <si>
    <t>30.04.2022</t>
  </si>
  <si>
    <t>10.05.2022</t>
  </si>
  <si>
    <t>01.07.2022</t>
  </si>
  <si>
    <t>TABLEAU D'AMORTISSEMENT : 2025</t>
  </si>
  <si>
    <t>Hornbach - Luxembourg</t>
  </si>
  <si>
    <t>03/2025</t>
  </si>
  <si>
    <t>24-2025</t>
  </si>
  <si>
    <t>19.07.2025</t>
  </si>
  <si>
    <t>Annuité amortissement</t>
  </si>
  <si>
    <t>1.07.2025</t>
  </si>
  <si>
    <t>Voiture VW Tiguan</t>
  </si>
  <si>
    <t>TABLEAU D'AMORTISSEMENT : 2026</t>
  </si>
  <si>
    <t>Garage Pauly-Losch</t>
  </si>
  <si>
    <t>10.04.2026</t>
  </si>
  <si>
    <t>VOITURES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</si>
</sst>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#,##0.00\ &quot;€&quot;;[Red]\-#,##0.00\ &quot;€&quot;"/>
    <numFmt numFmtId="164" formatCode="#,##0_ ;\-#,##0\ "/>
    <numFmt numFmtId="165" formatCode="#,##0.00\ [$€-80C];[Red]\-#,##0.00\ [$€-80C]"/>
    <numFmt numFmtId="166" formatCode="#,##0.00\ [$€-1];[Red]\-#,##0.00\ [$€-1]"/>
    <numFmt numFmtId="167" formatCode="#,##0.00\ &quot;€&quot;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36"/>
      <color rgb="FF00B4C2"/>
      <name val="Arial"/>
      <family val="2"/>
    </font>
    <font>
      <b/>
      <sz val="11"/>
      <color rgb="FF00B4C2"/>
      <name val="Arial"/>
      <family val="2"/>
    </font>
    <font>
      <sz val="8"/>
      <color theme="1" tint="0.499984740745262"/>
      <name val="Calibri"/>
      <family val="2"/>
      <scheme val="minor"/>
    </font>
    <font>
      <sz val="9"/>
      <color theme="1" tint="0.499984740745262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28"/>
      <color rgb="FF00B4C2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rgb="FF00B4C2"/>
      <name val="Calibri"/>
      <family val="2"/>
      <scheme val="minor"/>
    </font>
    <font>
      <b/>
      <u/>
      <sz val="11"/>
      <color rgb="FF05B3C2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i/>
      <sz val="8"/>
      <name val="Calibri"/>
      <family val="2"/>
      <scheme val="minor"/>
    </font>
    <font>
      <sz val="10"/>
      <name val="MS Sans Serif"/>
      <family val="2"/>
    </font>
    <font>
      <sz val="10"/>
      <name val="Arial"/>
      <family val="2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4C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/>
      <bottom/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/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22" fillId="0" borderId="0"/>
    <xf numFmtId="0" fontId="1" fillId="0" borderId="0"/>
  </cellStyleXfs>
  <cellXfs count="205">
    <xf numFmtId="0" fontId="0" fillId="0" borderId="0" xfId="0"/>
    <xf numFmtId="0" fontId="0" fillId="2" borderId="0" xfId="0" applyFill="1"/>
    <xf numFmtId="0" fontId="3" fillId="2" borderId="0" xfId="0" applyFont="1" applyFill="1"/>
    <xf numFmtId="0" fontId="4" fillId="2" borderId="0" xfId="0" applyFont="1" applyFill="1"/>
    <xf numFmtId="0" fontId="6" fillId="2" borderId="0" xfId="0" applyFont="1" applyFill="1" applyAlignment="1">
      <alignment horizontal="left" vertical="center" indent="1"/>
    </xf>
    <xf numFmtId="0" fontId="0" fillId="4" borderId="0" xfId="0" applyFill="1"/>
    <xf numFmtId="3" fontId="5" fillId="2" borderId="0" xfId="0" applyNumberFormat="1" applyFont="1" applyFill="1" applyAlignment="1">
      <alignment horizontal="left" vertical="center"/>
    </xf>
    <xf numFmtId="0" fontId="8" fillId="2" borderId="0" xfId="0" applyFont="1" applyFill="1"/>
    <xf numFmtId="0" fontId="7" fillId="2" borderId="1" xfId="0" applyFont="1" applyFill="1" applyBorder="1" applyAlignment="1">
      <alignment horizontal="left" vertical="center" indent="1"/>
    </xf>
    <xf numFmtId="0" fontId="2" fillId="2" borderId="0" xfId="0" applyFont="1" applyFill="1"/>
    <xf numFmtId="0" fontId="9" fillId="2" borderId="0" xfId="0" applyFont="1" applyFill="1"/>
    <xf numFmtId="0" fontId="7" fillId="2" borderId="0" xfId="0" applyFont="1" applyFill="1" applyAlignment="1">
      <alignment horizontal="left" vertical="center" indent="1"/>
    </xf>
    <xf numFmtId="0" fontId="11" fillId="2" borderId="0" xfId="2" applyFill="1" applyBorder="1"/>
    <xf numFmtId="0" fontId="14" fillId="2" borderId="0" xfId="2" applyFont="1" applyFill="1" applyBorder="1"/>
    <xf numFmtId="0" fontId="12" fillId="2" borderId="0" xfId="0" applyFont="1" applyFill="1"/>
    <xf numFmtId="0" fontId="12" fillId="2" borderId="0" xfId="0" applyFont="1" applyFill="1" applyAlignment="1">
      <alignment horizontal="left" indent="1"/>
    </xf>
    <xf numFmtId="0" fontId="10" fillId="2" borderId="0" xfId="0" applyFont="1" applyFill="1"/>
    <xf numFmtId="0" fontId="13" fillId="2" borderId="0" xfId="2" applyFont="1" applyFill="1" applyBorder="1" applyAlignment="1">
      <alignment horizontal="left" indent="1"/>
    </xf>
    <xf numFmtId="0" fontId="14" fillId="2" borderId="0" xfId="2" applyFont="1" applyFill="1" applyBorder="1" applyAlignment="1">
      <alignment horizontal="left"/>
    </xf>
    <xf numFmtId="0" fontId="15" fillId="2" borderId="0" xfId="2" applyFont="1" applyFill="1" applyBorder="1"/>
    <xf numFmtId="0" fontId="7" fillId="2" borderId="7" xfId="0" applyFont="1" applyFill="1" applyBorder="1" applyAlignment="1">
      <alignment horizontal="center" vertical="center" wrapText="1"/>
    </xf>
    <xf numFmtId="0" fontId="0" fillId="2" borderId="0" xfId="0" applyFill="1" applyAlignment="1">
      <alignment wrapText="1"/>
    </xf>
    <xf numFmtId="0" fontId="7" fillId="2" borderId="0" xfId="0" applyFont="1" applyFill="1" applyAlignment="1">
      <alignment horizontal="center" wrapText="1"/>
    </xf>
    <xf numFmtId="0" fontId="16" fillId="2" borderId="0" xfId="0" applyFont="1" applyFill="1"/>
    <xf numFmtId="0" fontId="0" fillId="0" borderId="0" xfId="0" applyAlignment="1">
      <alignment horizontal="center"/>
    </xf>
    <xf numFmtId="165" fontId="0" fillId="0" borderId="0" xfId="0" applyNumberFormat="1"/>
    <xf numFmtId="14" fontId="0" fillId="0" borderId="0" xfId="0" applyNumberFormat="1" applyAlignment="1">
      <alignment horizontal="center"/>
    </xf>
    <xf numFmtId="0" fontId="12" fillId="0" borderId="9" xfId="0" applyFont="1" applyBorder="1" applyAlignment="1">
      <alignment horizontal="center"/>
    </xf>
    <xf numFmtId="165" fontId="12" fillId="5" borderId="9" xfId="0" applyNumberFormat="1" applyFont="1" applyFill="1" applyBorder="1"/>
    <xf numFmtId="0" fontId="12" fillId="5" borderId="9" xfId="0" applyFont="1" applyFill="1" applyBorder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165" fontId="12" fillId="0" borderId="9" xfId="0" applyNumberFormat="1" applyFont="1" applyBorder="1" applyAlignment="1">
      <alignment horizontal="center" vertical="center" wrapText="1"/>
    </xf>
    <xf numFmtId="14" fontId="12" fillId="0" borderId="9" xfId="0" applyNumberFormat="1" applyFont="1" applyBorder="1" applyAlignment="1">
      <alignment horizontal="center" vertical="center" wrapText="1"/>
    </xf>
    <xf numFmtId="165" fontId="0" fillId="0" borderId="9" xfId="0" applyNumberFormat="1" applyBorder="1"/>
    <xf numFmtId="0" fontId="18" fillId="6" borderId="9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4" fontId="12" fillId="5" borderId="9" xfId="0" applyNumberFormat="1" applyFont="1" applyFill="1" applyBorder="1" applyAlignment="1">
      <alignment horizontal="center"/>
    </xf>
    <xf numFmtId="165" fontId="17" fillId="0" borderId="0" xfId="0" applyNumberFormat="1" applyFont="1" applyAlignment="1">
      <alignment horizontal="center" vertical="center"/>
    </xf>
    <xf numFmtId="1" fontId="12" fillId="0" borderId="9" xfId="0" applyNumberFormat="1" applyFont="1" applyBorder="1" applyAlignment="1">
      <alignment horizontal="center"/>
    </xf>
    <xf numFmtId="14" fontId="12" fillId="0" borderId="0" xfId="0" applyNumberFormat="1" applyFont="1" applyAlignment="1">
      <alignment horizontal="center"/>
    </xf>
    <xf numFmtId="0" fontId="19" fillId="2" borderId="0" xfId="0" applyFont="1" applyFill="1" applyAlignment="1">
      <alignment horizontal="left" vertical="center" indent="1"/>
    </xf>
    <xf numFmtId="14" fontId="19" fillId="2" borderId="4" xfId="0" applyNumberFormat="1" applyFont="1" applyFill="1" applyBorder="1" applyAlignment="1">
      <alignment horizontal="left" vertical="center" indent="1"/>
    </xf>
    <xf numFmtId="14" fontId="19" fillId="2" borderId="0" xfId="0" applyNumberFormat="1" applyFont="1" applyFill="1" applyAlignment="1">
      <alignment horizontal="left" vertical="center" indent="1"/>
    </xf>
    <xf numFmtId="14" fontId="19" fillId="2" borderId="1" xfId="0" applyNumberFormat="1" applyFont="1" applyFill="1" applyBorder="1" applyAlignment="1">
      <alignment horizontal="left" vertical="center" indent="1"/>
    </xf>
    <xf numFmtId="0" fontId="19" fillId="3" borderId="3" xfId="0" applyFont="1" applyFill="1" applyBorder="1" applyAlignment="1">
      <alignment horizontal="center" vertical="center"/>
    </xf>
    <xf numFmtId="0" fontId="20" fillId="2" borderId="6" xfId="0" applyFont="1" applyFill="1" applyBorder="1" applyAlignment="1">
      <alignment horizontal="center" vertical="center"/>
    </xf>
    <xf numFmtId="165" fontId="20" fillId="2" borderId="6" xfId="0" applyNumberFormat="1" applyFont="1" applyFill="1" applyBorder="1" applyAlignment="1">
      <alignment horizontal="right" vertical="center"/>
    </xf>
    <xf numFmtId="0" fontId="20" fillId="2" borderId="8" xfId="0" applyFont="1" applyFill="1" applyBorder="1" applyAlignment="1">
      <alignment horizontal="center" vertical="center"/>
    </xf>
    <xf numFmtId="165" fontId="20" fillId="2" borderId="8" xfId="0" applyNumberFormat="1" applyFont="1" applyFill="1" applyBorder="1" applyAlignment="1">
      <alignment horizontal="right" vertical="center"/>
    </xf>
    <xf numFmtId="0" fontId="20" fillId="2" borderId="7" xfId="0" applyFont="1" applyFill="1" applyBorder="1" applyAlignment="1">
      <alignment horizontal="center" vertical="center"/>
    </xf>
    <xf numFmtId="165" fontId="20" fillId="2" borderId="7" xfId="0" applyNumberFormat="1" applyFont="1" applyFill="1" applyBorder="1" applyAlignment="1">
      <alignment horizontal="right" vertical="center"/>
    </xf>
    <xf numFmtId="0" fontId="7" fillId="2" borderId="12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left" vertical="center" indent="1"/>
    </xf>
    <xf numFmtId="0" fontId="19" fillId="3" borderId="3" xfId="0" applyFont="1" applyFill="1" applyBorder="1" applyAlignment="1">
      <alignment horizontal="left" vertical="center" indent="1"/>
    </xf>
    <xf numFmtId="0" fontId="21" fillId="2" borderId="2" xfId="0" applyFont="1" applyFill="1" applyBorder="1" applyAlignment="1">
      <alignment vertical="center" wrapText="1"/>
    </xf>
    <xf numFmtId="9" fontId="19" fillId="3" borderId="3" xfId="1" applyFont="1" applyFill="1" applyBorder="1" applyAlignment="1">
      <alignment horizontal="left" vertical="center" indent="1"/>
    </xf>
    <xf numFmtId="0" fontId="19" fillId="2" borderId="1" xfId="0" applyFont="1" applyFill="1" applyBorder="1" applyAlignment="1">
      <alignment horizontal="left" vertical="center" indent="1"/>
    </xf>
    <xf numFmtId="9" fontId="20" fillId="2" borderId="6" xfId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164" fontId="19" fillId="2" borderId="0" xfId="0" applyNumberFormat="1" applyFont="1" applyFill="1" applyAlignment="1">
      <alignment vertical="center"/>
    </xf>
    <xf numFmtId="0" fontId="19" fillId="2" borderId="3" xfId="0" applyFont="1" applyFill="1" applyBorder="1" applyAlignment="1">
      <alignment horizontal="center" vertical="center"/>
    </xf>
    <xf numFmtId="165" fontId="19" fillId="2" borderId="9" xfId="0" applyNumberFormat="1" applyFont="1" applyFill="1" applyBorder="1" applyAlignment="1">
      <alignment horizontal="right" vertical="center" indent="1"/>
    </xf>
    <xf numFmtId="0" fontId="19" fillId="2" borderId="3" xfId="0" applyFont="1" applyFill="1" applyBorder="1" applyAlignment="1">
      <alignment horizontal="left" vertical="center" indent="1"/>
    </xf>
    <xf numFmtId="0" fontId="12" fillId="0" borderId="0" xfId="0" applyFont="1" applyAlignment="1">
      <alignment horizontal="center"/>
    </xf>
    <xf numFmtId="165" fontId="12" fillId="0" borderId="0" xfId="0" applyNumberFormat="1" applyFont="1"/>
    <xf numFmtId="1" fontId="12" fillId="0" borderId="0" xfId="0" applyNumberFormat="1" applyFont="1" applyAlignment="1">
      <alignment horizontal="center"/>
    </xf>
    <xf numFmtId="165" fontId="12" fillId="0" borderId="9" xfId="0" applyNumberFormat="1" applyFont="1" applyBorder="1"/>
    <xf numFmtId="165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7" borderId="12" xfId="0" applyFill="1" applyBorder="1" applyAlignment="1">
      <alignment horizontal="center"/>
    </xf>
    <xf numFmtId="14" fontId="0" fillId="7" borderId="16" xfId="0" applyNumberFormat="1" applyFill="1" applyBorder="1" applyAlignment="1">
      <alignment horizontal="center"/>
    </xf>
    <xf numFmtId="165" fontId="10" fillId="7" borderId="10" xfId="0" applyNumberFormat="1" applyFont="1" applyFill="1" applyBorder="1" applyAlignment="1">
      <alignment horizontal="left"/>
    </xf>
    <xf numFmtId="0" fontId="0" fillId="7" borderId="15" xfId="0" applyFill="1" applyBorder="1"/>
    <xf numFmtId="0" fontId="0" fillId="7" borderId="11" xfId="0" applyFill="1" applyBorder="1"/>
    <xf numFmtId="165" fontId="10" fillId="7" borderId="14" xfId="0" applyNumberFormat="1" applyFont="1" applyFill="1" applyBorder="1" applyAlignment="1">
      <alignment horizontal="left"/>
    </xf>
    <xf numFmtId="165" fontId="17" fillId="7" borderId="15" xfId="0" applyNumberFormat="1" applyFont="1" applyFill="1" applyBorder="1" applyAlignment="1">
      <alignment horizontal="center"/>
    </xf>
    <xf numFmtId="165" fontId="17" fillId="7" borderId="11" xfId="0" applyNumberFormat="1" applyFont="1" applyFill="1" applyBorder="1" applyAlignment="1">
      <alignment horizontal="center"/>
    </xf>
    <xf numFmtId="0" fontId="12" fillId="0" borderId="17" xfId="0" applyFont="1" applyBorder="1" applyAlignment="1">
      <alignment horizontal="left"/>
    </xf>
    <xf numFmtId="0" fontId="0" fillId="0" borderId="18" xfId="0" applyBorder="1" applyAlignment="1">
      <alignment horizontal="center"/>
    </xf>
    <xf numFmtId="0" fontId="0" fillId="0" borderId="18" xfId="0" applyBorder="1"/>
    <xf numFmtId="2" fontId="0" fillId="0" borderId="18" xfId="0" applyNumberFormat="1" applyBorder="1" applyAlignment="1">
      <alignment horizontal="center"/>
    </xf>
    <xf numFmtId="0" fontId="0" fillId="0" borderId="18" xfId="0" applyBorder="1" applyAlignment="1">
      <alignment horizontal="right"/>
    </xf>
    <xf numFmtId="8" fontId="12" fillId="0" borderId="18" xfId="0" applyNumberFormat="1" applyFont="1" applyBorder="1" applyAlignment="1">
      <alignment horizontal="right"/>
    </xf>
    <xf numFmtId="0" fontId="0" fillId="0" borderId="19" xfId="0" applyBorder="1" applyAlignment="1">
      <alignment horizontal="center"/>
    </xf>
    <xf numFmtId="0" fontId="12" fillId="0" borderId="13" xfId="0" applyFont="1" applyBorder="1" applyAlignment="1">
      <alignment horizontal="left"/>
    </xf>
    <xf numFmtId="0" fontId="12" fillId="0" borderId="0" xfId="0" applyFont="1"/>
    <xf numFmtId="2" fontId="0" fillId="0" borderId="0" xfId="0" applyNumberFormat="1" applyAlignment="1">
      <alignment horizontal="center"/>
    </xf>
    <xf numFmtId="0" fontId="0" fillId="0" borderId="20" xfId="0" applyBorder="1" applyAlignment="1">
      <alignment horizontal="center"/>
    </xf>
    <xf numFmtId="14" fontId="1" fillId="0" borderId="13" xfId="4" applyNumberFormat="1" applyBorder="1" applyAlignment="1">
      <alignment horizontal="center" vertical="center"/>
    </xf>
    <xf numFmtId="0" fontId="0" fillId="0" borderId="0" xfId="4" applyFont="1" applyAlignment="1">
      <alignment vertical="center"/>
    </xf>
    <xf numFmtId="0" fontId="23" fillId="0" borderId="0" xfId="4" applyFont="1" applyAlignment="1">
      <alignment vertical="center"/>
    </xf>
    <xf numFmtId="0" fontId="0" fillId="0" borderId="0" xfId="4" applyFont="1" applyAlignment="1">
      <alignment horizontal="center" vertical="center"/>
    </xf>
    <xf numFmtId="166" fontId="0" fillId="0" borderId="0" xfId="0" applyNumberFormat="1"/>
    <xf numFmtId="10" fontId="0" fillId="0" borderId="0" xfId="4" applyNumberFormat="1" applyFont="1" applyAlignment="1">
      <alignment horizontal="center"/>
    </xf>
    <xf numFmtId="8" fontId="1" fillId="0" borderId="0" xfId="4" applyNumberFormat="1" applyAlignment="1">
      <alignment vertical="center"/>
    </xf>
    <xf numFmtId="49" fontId="0" fillId="0" borderId="0" xfId="4" applyNumberFormat="1" applyFont="1" applyAlignment="1">
      <alignment horizontal="center"/>
    </xf>
    <xf numFmtId="8" fontId="0" fillId="0" borderId="0" xfId="4" applyNumberFormat="1" applyFont="1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8" fontId="12" fillId="7" borderId="9" xfId="0" applyNumberFormat="1" applyFont="1" applyFill="1" applyBorder="1" applyAlignment="1">
      <alignment horizontal="right"/>
    </xf>
    <xf numFmtId="0" fontId="0" fillId="0" borderId="0" xfId="0" applyAlignment="1">
      <alignment horizontal="right"/>
    </xf>
    <xf numFmtId="8" fontId="12" fillId="0" borderId="9" xfId="0" applyNumberFormat="1" applyFont="1" applyBorder="1" applyAlignment="1">
      <alignment horizontal="right"/>
    </xf>
    <xf numFmtId="8" fontId="12" fillId="0" borderId="0" xfId="0" applyNumberFormat="1" applyFont="1" applyAlignment="1">
      <alignment horizontal="right"/>
    </xf>
    <xf numFmtId="14" fontId="1" fillId="0" borderId="13" xfId="0" applyNumberFormat="1" applyFont="1" applyBorder="1" applyAlignment="1">
      <alignment horizontal="center"/>
    </xf>
    <xf numFmtId="0" fontId="0" fillId="0" borderId="0" xfId="4" applyFont="1"/>
    <xf numFmtId="0" fontId="23" fillId="0" borderId="0" xfId="4" applyFont="1"/>
    <xf numFmtId="0" fontId="0" fillId="0" borderId="0" xfId="4" applyFont="1" applyAlignment="1">
      <alignment horizontal="center"/>
    </xf>
    <xf numFmtId="0" fontId="0" fillId="0" borderId="20" xfId="0" applyBorder="1"/>
    <xf numFmtId="0" fontId="12" fillId="0" borderId="13" xfId="0" applyFont="1" applyBorder="1"/>
    <xf numFmtId="14" fontId="1" fillId="0" borderId="13" xfId="4" applyNumberFormat="1" applyBorder="1" applyAlignment="1">
      <alignment horizontal="center"/>
    </xf>
    <xf numFmtId="8" fontId="1" fillId="0" borderId="0" xfId="4" applyNumberFormat="1"/>
    <xf numFmtId="167" fontId="0" fillId="0" borderId="0" xfId="4" applyNumberFormat="1" applyFont="1" applyAlignment="1">
      <alignment horizontal="right"/>
    </xf>
    <xf numFmtId="49" fontId="0" fillId="0" borderId="0" xfId="0" applyNumberFormat="1" applyAlignment="1">
      <alignment horizontal="center"/>
    </xf>
    <xf numFmtId="0" fontId="12" fillId="0" borderId="0" xfId="0" applyFont="1" applyAlignment="1">
      <alignment horizontal="center" vertical="center"/>
    </xf>
    <xf numFmtId="0" fontId="0" fillId="0" borderId="13" xfId="0" applyBorder="1"/>
    <xf numFmtId="0" fontId="24" fillId="0" borderId="9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8" fontId="0" fillId="5" borderId="17" xfId="0" applyNumberFormat="1" applyFill="1" applyBorder="1"/>
    <xf numFmtId="8" fontId="12" fillId="5" borderId="21" xfId="0" applyNumberFormat="1" applyFont="1" applyFill="1" applyBorder="1"/>
    <xf numFmtId="1" fontId="12" fillId="5" borderId="21" xfId="0" applyNumberFormat="1" applyFont="1" applyFill="1" applyBorder="1" applyAlignment="1">
      <alignment horizontal="center"/>
    </xf>
    <xf numFmtId="8" fontId="12" fillId="0" borderId="0" xfId="0" applyNumberFormat="1" applyFont="1"/>
    <xf numFmtId="8" fontId="12" fillId="5" borderId="9" xfId="0" applyNumberFormat="1" applyFont="1" applyFill="1" applyBorder="1"/>
    <xf numFmtId="8" fontId="0" fillId="5" borderId="21" xfId="0" applyNumberFormat="1" applyFill="1" applyBorder="1"/>
    <xf numFmtId="8" fontId="0" fillId="0" borderId="0" xfId="0" applyNumberFormat="1"/>
    <xf numFmtId="8" fontId="12" fillId="5" borderId="13" xfId="0" applyNumberFormat="1" applyFont="1" applyFill="1" applyBorder="1"/>
    <xf numFmtId="1" fontId="12" fillId="5" borderId="22" xfId="0" applyNumberFormat="1" applyFont="1" applyFill="1" applyBorder="1" applyAlignment="1">
      <alignment horizontal="center"/>
    </xf>
    <xf numFmtId="8" fontId="0" fillId="5" borderId="13" xfId="0" applyNumberFormat="1" applyFill="1" applyBorder="1"/>
    <xf numFmtId="8" fontId="0" fillId="5" borderId="22" xfId="0" applyNumberFormat="1" applyFill="1" applyBorder="1"/>
    <xf numFmtId="8" fontId="12" fillId="5" borderId="22" xfId="0" applyNumberFormat="1" applyFont="1" applyFill="1" applyBorder="1"/>
    <xf numFmtId="1" fontId="12" fillId="0" borderId="22" xfId="0" applyNumberFormat="1" applyFont="1" applyBorder="1" applyAlignment="1">
      <alignment horizontal="center"/>
    </xf>
    <xf numFmtId="8" fontId="0" fillId="0" borderId="13" xfId="0" applyNumberFormat="1" applyBorder="1"/>
    <xf numFmtId="8" fontId="0" fillId="0" borderId="22" xfId="0" applyNumberFormat="1" applyBorder="1"/>
    <xf numFmtId="8" fontId="12" fillId="0" borderId="22" xfId="0" applyNumberFormat="1" applyFont="1" applyBorder="1"/>
    <xf numFmtId="1" fontId="12" fillId="0" borderId="23" xfId="0" applyNumberFormat="1" applyFont="1" applyBorder="1" applyAlignment="1">
      <alignment horizontal="center"/>
    </xf>
    <xf numFmtId="8" fontId="0" fillId="0" borderId="14" xfId="0" applyNumberFormat="1" applyBorder="1"/>
    <xf numFmtId="8" fontId="0" fillId="0" borderId="23" xfId="0" applyNumberFormat="1" applyBorder="1"/>
    <xf numFmtId="8" fontId="12" fillId="0" borderId="23" xfId="0" applyNumberFormat="1" applyFont="1" applyBorder="1"/>
    <xf numFmtId="8" fontId="12" fillId="7" borderId="9" xfId="0" applyNumberFormat="1" applyFont="1" applyFill="1" applyBorder="1"/>
    <xf numFmtId="0" fontId="1" fillId="0" borderId="1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/>
    <xf numFmtId="2" fontId="0" fillId="0" borderId="12" xfId="0" applyNumberFormat="1" applyBorder="1" applyAlignment="1">
      <alignment horizontal="center"/>
    </xf>
    <xf numFmtId="0" fontId="0" fillId="0" borderId="12" xfId="0" applyBorder="1" applyAlignment="1">
      <alignment horizontal="right"/>
    </xf>
    <xf numFmtId="0" fontId="0" fillId="0" borderId="16" xfId="0" applyBorder="1" applyAlignment="1">
      <alignment horizontal="center"/>
    </xf>
    <xf numFmtId="165" fontId="17" fillId="5" borderId="9" xfId="0" applyNumberFormat="1" applyFont="1" applyFill="1" applyBorder="1" applyAlignment="1">
      <alignment horizontal="center" vertical="center"/>
    </xf>
    <xf numFmtId="0" fontId="0" fillId="0" borderId="9" xfId="0" applyBorder="1"/>
    <xf numFmtId="8" fontId="0" fillId="0" borderId="9" xfId="0" applyNumberFormat="1" applyBorder="1"/>
    <xf numFmtId="0" fontId="0" fillId="0" borderId="9" xfId="0" applyBorder="1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9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9" xfId="0" applyNumberFormat="1" applyBorder="1" applyAlignment="1">
      <alignment horizontal="center"/>
    </xf>
    <xf numFmtId="0" fontId="12" fillId="5" borderId="9" xfId="0" applyFont="1" applyFill="1" applyBorder="1" applyAlignment="1">
      <alignment horizontal="center" vertical="center"/>
    </xf>
    <xf numFmtId="8" fontId="12" fillId="5" borderId="9" xfId="0" applyNumberFormat="1" applyFont="1" applyFill="1" applyBorder="1" applyAlignment="1">
      <alignment horizontal="center" vertical="center"/>
    </xf>
    <xf numFmtId="10" fontId="12" fillId="5" borderId="9" xfId="0" applyNumberFormat="1" applyFont="1" applyFill="1" applyBorder="1" applyAlignment="1">
      <alignment horizontal="center" vertical="center"/>
    </xf>
    <xf numFmtId="1" fontId="12" fillId="5" borderId="9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0" xfId="0" applyFont="1"/>
    <xf numFmtId="8" fontId="10" fillId="5" borderId="9" xfId="0" applyNumberFormat="1" applyFont="1" applyFill="1" applyBorder="1"/>
    <xf numFmtId="10" fontId="10" fillId="5" borderId="9" xfId="0" applyNumberFormat="1" applyFont="1" applyFill="1" applyBorder="1" applyAlignment="1">
      <alignment horizontal="center"/>
    </xf>
    <xf numFmtId="1" fontId="10" fillId="5" borderId="9" xfId="0" applyNumberFormat="1" applyFont="1" applyFill="1" applyBorder="1" applyAlignment="1">
      <alignment horizontal="center"/>
    </xf>
    <xf numFmtId="0" fontId="12" fillId="5" borderId="9" xfId="0" applyFont="1" applyFill="1" applyBorder="1"/>
    <xf numFmtId="0" fontId="10" fillId="0" borderId="0" xfId="0" applyFont="1" applyAlignment="1">
      <alignment vertical="center"/>
    </xf>
    <xf numFmtId="14" fontId="0" fillId="0" borderId="9" xfId="0" applyNumberFormat="1" applyBorder="1" applyAlignment="1">
      <alignment horizontal="center"/>
    </xf>
    <xf numFmtId="8" fontId="0" fillId="7" borderId="9" xfId="0" applyNumberFormat="1" applyFill="1" applyBorder="1"/>
    <xf numFmtId="8" fontId="10" fillId="7" borderId="9" xfId="0" applyNumberFormat="1" applyFont="1" applyFill="1" applyBorder="1" applyAlignment="1">
      <alignment horizontal="center"/>
    </xf>
    <xf numFmtId="0" fontId="12" fillId="5" borderId="9" xfId="0" applyFont="1" applyFill="1" applyBorder="1" applyAlignment="1">
      <alignment horizontal="center" vertical="center"/>
    </xf>
    <xf numFmtId="0" fontId="21" fillId="2" borderId="0" xfId="0" applyFont="1" applyFill="1" applyAlignment="1">
      <alignment horizontal="left" vertical="top" wrapText="1"/>
    </xf>
    <xf numFmtId="0" fontId="19" fillId="2" borderId="5" xfId="0" applyFont="1" applyFill="1" applyBorder="1" applyAlignment="1">
      <alignment horizontal="left" vertical="center" indent="1"/>
    </xf>
    <xf numFmtId="0" fontId="19" fillId="2" borderId="6" xfId="0" applyFont="1" applyFill="1" applyBorder="1" applyAlignment="1">
      <alignment horizontal="left" vertical="center" indent="1"/>
    </xf>
    <xf numFmtId="0" fontId="19" fillId="2" borderId="4" xfId="0" applyFont="1" applyFill="1" applyBorder="1" applyAlignment="1">
      <alignment horizontal="left" vertical="center" indent="1"/>
    </xf>
    <xf numFmtId="165" fontId="20" fillId="2" borderId="8" xfId="0" applyNumberFormat="1" applyFont="1" applyFill="1" applyBorder="1" applyAlignment="1">
      <alignment horizontal="right" vertical="center"/>
    </xf>
    <xf numFmtId="0" fontId="21" fillId="2" borderId="2" xfId="0" applyFont="1" applyFill="1" applyBorder="1" applyAlignment="1">
      <alignment horizontal="left" vertical="top" wrapText="1"/>
    </xf>
    <xf numFmtId="165" fontId="20" fillId="2" borderId="6" xfId="0" applyNumberFormat="1" applyFont="1" applyFill="1" applyBorder="1" applyAlignment="1">
      <alignment horizontal="right" vertical="center"/>
    </xf>
    <xf numFmtId="0" fontId="7" fillId="2" borderId="7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left" vertical="center" wrapText="1"/>
    </xf>
    <xf numFmtId="0" fontId="21" fillId="2" borderId="0" xfId="0" applyFont="1" applyFill="1" applyAlignment="1">
      <alignment horizontal="left" vertical="center" wrapText="1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164" fontId="19" fillId="2" borderId="13" xfId="0" applyNumberFormat="1" applyFont="1" applyFill="1" applyBorder="1" applyAlignment="1">
      <alignment horizontal="center" vertical="center"/>
    </xf>
    <xf numFmtId="164" fontId="19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7" fillId="2" borderId="12" xfId="0" applyFont="1" applyFill="1" applyBorder="1" applyAlignment="1">
      <alignment horizontal="center" vertical="center" wrapText="1"/>
    </xf>
    <xf numFmtId="165" fontId="20" fillId="2" borderId="7" xfId="0" applyNumberFormat="1" applyFont="1" applyFill="1" applyBorder="1" applyAlignment="1">
      <alignment horizontal="right" vertical="center"/>
    </xf>
    <xf numFmtId="165" fontId="12" fillId="5" borderId="9" xfId="0" applyNumberFormat="1" applyFont="1" applyFill="1" applyBorder="1" applyAlignment="1">
      <alignment horizontal="center"/>
    </xf>
    <xf numFmtId="14" fontId="12" fillId="5" borderId="9" xfId="0" applyNumberFormat="1" applyFont="1" applyFill="1" applyBorder="1" applyAlignment="1">
      <alignment horizontal="center"/>
    </xf>
    <xf numFmtId="165" fontId="17" fillId="5" borderId="9" xfId="0" applyNumberFormat="1" applyFont="1" applyFill="1" applyBorder="1" applyAlignment="1">
      <alignment horizontal="center" vertical="center"/>
    </xf>
    <xf numFmtId="0" fontId="18" fillId="5" borderId="9" xfId="0" applyFont="1" applyFill="1" applyBorder="1" applyAlignment="1">
      <alignment horizontal="center" vertical="center"/>
    </xf>
    <xf numFmtId="165" fontId="17" fillId="5" borderId="10" xfId="0" applyNumberFormat="1" applyFont="1" applyFill="1" applyBorder="1" applyAlignment="1">
      <alignment horizontal="center" vertical="center"/>
    </xf>
    <xf numFmtId="165" fontId="17" fillId="5" borderId="15" xfId="0" applyNumberFormat="1" applyFont="1" applyFill="1" applyBorder="1" applyAlignment="1">
      <alignment horizontal="center" vertical="center"/>
    </xf>
    <xf numFmtId="165" fontId="17" fillId="5" borderId="11" xfId="0" applyNumberFormat="1" applyFont="1" applyFill="1" applyBorder="1" applyAlignment="1">
      <alignment horizontal="center" vertical="center"/>
    </xf>
    <xf numFmtId="0" fontId="18" fillId="7" borderId="9" xfId="0" applyFont="1" applyFill="1" applyBorder="1" applyAlignment="1">
      <alignment horizontal="center" vertical="center"/>
    </xf>
    <xf numFmtId="165" fontId="12" fillId="0" borderId="0" xfId="0" applyNumberFormat="1" applyFont="1" applyAlignment="1">
      <alignment horizontal="center"/>
    </xf>
    <xf numFmtId="14" fontId="12" fillId="0" borderId="0" xfId="0" applyNumberFormat="1" applyFont="1" applyAlignment="1">
      <alignment horizontal="center"/>
    </xf>
    <xf numFmtId="165" fontId="17" fillId="7" borderId="9" xfId="0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7" borderId="10" xfId="0" applyFont="1" applyFill="1" applyBorder="1" applyAlignment="1">
      <alignment horizontal="center"/>
    </xf>
    <xf numFmtId="0" fontId="12" fillId="7" borderId="11" xfId="0" applyFont="1" applyFill="1" applyBorder="1" applyAlignment="1">
      <alignment horizontal="center"/>
    </xf>
    <xf numFmtId="8" fontId="0" fillId="0" borderId="9" xfId="0" applyNumberFormat="1" applyFont="1" applyFill="1" applyBorder="1"/>
    <xf numFmtId="166" fontId="0" fillId="0" borderId="0" xfId="0" applyNumberFormat="1" applyBorder="1"/>
  </cellXfs>
  <cellStyles count="5">
    <cellStyle name="Collegamento ipertestuale" xfId="2" builtinId="8"/>
    <cellStyle name="Normal 2" xfId="3" xr:uid="{00000000-0005-0000-0000-000002000000}"/>
    <cellStyle name="Normal 2 2" xfId="4" xr:uid="{00000000-0005-0000-0000-000003000000}"/>
    <cellStyle name="Normale" xfId="0" builtinId="0"/>
    <cellStyle name="Percentuale" xfId="1" builtinId="5"/>
  </cellStyles>
  <dxfs count="225"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00B4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390525</xdr:colOff>
      <xdr:row>3</xdr:row>
      <xdr:rowOff>28575</xdr:rowOff>
    </xdr:from>
    <xdr:to>
      <xdr:col>6</xdr:col>
      <xdr:colOff>1847850</xdr:colOff>
      <xdr:row>3</xdr:row>
      <xdr:rowOff>28575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21A0D0D-6744-4911-B1AA-53BC134A8157}"/>
            </a:ext>
          </a:extLst>
        </xdr:cNvPr>
        <xdr:cNvCxnSpPr/>
      </xdr:nvCxnSpPr>
      <xdr:spPr>
        <a:xfrm>
          <a:off x="390525" y="1247775"/>
          <a:ext cx="9699625" cy="0"/>
        </a:xfrm>
        <a:prstGeom prst="line">
          <a:avLst/>
        </a:prstGeom>
        <a:ln w="28575">
          <a:solidFill>
            <a:srgbClr val="00B4C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</xdr:row>
      <xdr:rowOff>152400</xdr:rowOff>
    </xdr:from>
    <xdr:to>
      <xdr:col>7</xdr:col>
      <xdr:colOff>0</xdr:colOff>
      <xdr:row>14</xdr:row>
      <xdr:rowOff>152400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F3742F1-CC81-412B-8573-A20900BBA53A}"/>
            </a:ext>
          </a:extLst>
        </xdr:cNvPr>
        <xdr:cNvCxnSpPr/>
      </xdr:nvCxnSpPr>
      <xdr:spPr>
        <a:xfrm>
          <a:off x="466725" y="4095750"/>
          <a:ext cx="9039225" cy="0"/>
        </a:xfrm>
        <a:prstGeom prst="line">
          <a:avLst/>
        </a:prstGeom>
        <a:ln w="28575">
          <a:solidFill>
            <a:srgbClr val="00B4C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28575</xdr:rowOff>
    </xdr:from>
    <xdr:to>
      <xdr:col>8</xdr:col>
      <xdr:colOff>0</xdr:colOff>
      <xdr:row>3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8E88D050-05B5-43DF-9189-52951E45BF63}"/>
            </a:ext>
          </a:extLst>
        </xdr:cNvPr>
        <xdr:cNvCxnSpPr/>
      </xdr:nvCxnSpPr>
      <xdr:spPr>
        <a:xfrm>
          <a:off x="352425" y="1343025"/>
          <a:ext cx="8810625" cy="0"/>
        </a:xfrm>
        <a:prstGeom prst="line">
          <a:avLst/>
        </a:prstGeom>
        <a:ln w="28575">
          <a:solidFill>
            <a:srgbClr val="00B4C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</xdr:row>
      <xdr:rowOff>0</xdr:rowOff>
    </xdr:from>
    <xdr:to>
      <xdr:col>8</xdr:col>
      <xdr:colOff>9525</xdr:colOff>
      <xdr:row>15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78EB0C6-E82E-470E-94DB-FF80487824DB}"/>
            </a:ext>
          </a:extLst>
        </xdr:cNvPr>
        <xdr:cNvCxnSpPr/>
      </xdr:nvCxnSpPr>
      <xdr:spPr>
        <a:xfrm>
          <a:off x="352425" y="3838575"/>
          <a:ext cx="8820150" cy="0"/>
        </a:xfrm>
        <a:prstGeom prst="line">
          <a:avLst/>
        </a:prstGeom>
        <a:ln w="28575">
          <a:solidFill>
            <a:srgbClr val="00B4C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390525</xdr:colOff>
      <xdr:row>2</xdr:row>
      <xdr:rowOff>28575</xdr:rowOff>
    </xdr:from>
    <xdr:to>
      <xdr:col>6</xdr:col>
      <xdr:colOff>1847850</xdr:colOff>
      <xdr:row>2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F8EF93C8-9471-48D2-A5CF-69F17B4A2E09}"/>
            </a:ext>
          </a:extLst>
        </xdr:cNvPr>
        <xdr:cNvCxnSpPr/>
      </xdr:nvCxnSpPr>
      <xdr:spPr>
        <a:xfrm>
          <a:off x="342900" y="1428750"/>
          <a:ext cx="6591300" cy="0"/>
        </a:xfrm>
        <a:prstGeom prst="line">
          <a:avLst/>
        </a:prstGeom>
        <a:ln w="28575">
          <a:solidFill>
            <a:srgbClr val="00B4C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13</xdr:row>
      <xdr:rowOff>152400</xdr:rowOff>
    </xdr:from>
    <xdr:to>
      <xdr:col>7</xdr:col>
      <xdr:colOff>0</xdr:colOff>
      <xdr:row>13</xdr:row>
      <xdr:rowOff>152400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EFA9FCF-43A5-41AC-864C-CB164B5B9BE1}"/>
            </a:ext>
          </a:extLst>
        </xdr:cNvPr>
        <xdr:cNvCxnSpPr/>
      </xdr:nvCxnSpPr>
      <xdr:spPr>
        <a:xfrm>
          <a:off x="342900" y="3676650"/>
          <a:ext cx="6591300" cy="0"/>
        </a:xfrm>
        <a:prstGeom prst="line">
          <a:avLst/>
        </a:prstGeom>
        <a:ln w="28575">
          <a:solidFill>
            <a:srgbClr val="00B4C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390525</xdr:colOff>
      <xdr:row>2</xdr:row>
      <xdr:rowOff>28575</xdr:rowOff>
    </xdr:from>
    <xdr:to>
      <xdr:col>6</xdr:col>
      <xdr:colOff>1847850</xdr:colOff>
      <xdr:row>2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90E4E251-14B3-464B-80DE-D299A9373398}"/>
            </a:ext>
          </a:extLst>
        </xdr:cNvPr>
        <xdr:cNvCxnSpPr/>
      </xdr:nvCxnSpPr>
      <xdr:spPr>
        <a:xfrm>
          <a:off x="342900" y="781050"/>
          <a:ext cx="6591300" cy="0"/>
        </a:xfrm>
        <a:prstGeom prst="line">
          <a:avLst/>
        </a:prstGeom>
        <a:ln w="28575">
          <a:solidFill>
            <a:srgbClr val="00B4C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13</xdr:row>
      <xdr:rowOff>152400</xdr:rowOff>
    </xdr:from>
    <xdr:to>
      <xdr:col>7</xdr:col>
      <xdr:colOff>0</xdr:colOff>
      <xdr:row>13</xdr:row>
      <xdr:rowOff>152400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E5C6109-CE82-4801-9839-9F475593A0D2}"/>
            </a:ext>
          </a:extLst>
        </xdr:cNvPr>
        <xdr:cNvCxnSpPr/>
      </xdr:nvCxnSpPr>
      <xdr:spPr>
        <a:xfrm>
          <a:off x="342900" y="3028950"/>
          <a:ext cx="6591300" cy="0"/>
        </a:xfrm>
        <a:prstGeom prst="line">
          <a:avLst/>
        </a:prstGeom>
        <a:ln w="28575">
          <a:solidFill>
            <a:srgbClr val="00B4C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"/>
  <sheetViews>
    <sheetView zoomScale="107" zoomScaleNormal="125" zoomScaleSheetLayoutView="125" workbookViewId="0">
      <selection activeCell="C28" sqref="C28"/>
    </sheetView>
  </sheetViews>
  <sheetFormatPr defaultColWidth="8.7109375" defaultRowHeight="15" x14ac:dyDescent="0.25"/>
  <cols>
    <col min="1" max="1" width="5.140625" style="1" customWidth="1"/>
    <col min="2" max="2" width="19.140625" style="1" customWidth="1"/>
    <col min="3" max="3" width="12" style="1" customWidth="1"/>
    <col min="4" max="4" width="11.28515625" style="1" customWidth="1"/>
    <col min="5" max="5" width="17.140625" style="1" customWidth="1"/>
    <col min="6" max="6" width="15.140625" style="1" customWidth="1"/>
    <col min="7" max="7" width="24.140625" style="1" customWidth="1"/>
    <col min="8" max="16384" width="8.7109375" style="1"/>
  </cols>
  <sheetData>
    <row r="1" spans="2:15" ht="35.450000000000003" customHeight="1" x14ac:dyDescent="0.3"/>
    <row r="2" spans="2:15" s="23" customFormat="1" ht="36.6" x14ac:dyDescent="0.7">
      <c r="B2" s="7" t="s">
        <v>0</v>
      </c>
      <c r="C2" s="7"/>
    </row>
    <row r="3" spans="2:15" ht="30" customHeight="1" x14ac:dyDescent="0.3"/>
    <row r="4" spans="2:15" ht="14.45" x14ac:dyDescent="0.3">
      <c r="J4" s="14"/>
    </row>
    <row r="5" spans="2:15" ht="15.75" x14ac:dyDescent="0.25">
      <c r="B5" s="3" t="s">
        <v>59</v>
      </c>
      <c r="C5" s="3"/>
      <c r="I5" s="14"/>
      <c r="J5" s="15"/>
      <c r="K5" s="16"/>
      <c r="M5" s="19"/>
      <c r="O5" s="14"/>
    </row>
    <row r="6" spans="2:15" ht="4.5" customHeight="1" x14ac:dyDescent="0.3">
      <c r="I6" s="14"/>
      <c r="J6" s="14"/>
      <c r="K6" s="12"/>
      <c r="L6" s="13"/>
      <c r="M6" s="13"/>
      <c r="O6" s="14"/>
    </row>
    <row r="7" spans="2:15" ht="17.45" customHeight="1" x14ac:dyDescent="0.25">
      <c r="B7" s="170" t="s">
        <v>58</v>
      </c>
      <c r="C7" s="171"/>
      <c r="D7" s="62">
        <v>25562.82</v>
      </c>
      <c r="E7" s="169" t="s">
        <v>62</v>
      </c>
      <c r="F7" s="169"/>
      <c r="J7" s="14"/>
    </row>
    <row r="8" spans="2:15" ht="17.45" customHeight="1" x14ac:dyDescent="0.25">
      <c r="B8" s="170" t="s">
        <v>2</v>
      </c>
      <c r="C8" s="172"/>
      <c r="D8" s="63">
        <v>5</v>
      </c>
      <c r="E8" s="169"/>
      <c r="F8" s="169"/>
      <c r="J8" s="15"/>
      <c r="K8" s="16"/>
    </row>
    <row r="9" spans="2:15" ht="17.45" customHeight="1" x14ac:dyDescent="0.3">
      <c r="B9" s="170" t="s">
        <v>3</v>
      </c>
      <c r="C9" s="172"/>
      <c r="D9" s="42">
        <v>44743</v>
      </c>
      <c r="E9" s="43"/>
      <c r="F9" s="10"/>
      <c r="J9" s="17"/>
      <c r="K9" s="12"/>
      <c r="M9" s="19"/>
    </row>
    <row r="10" spans="2:15" ht="17.45" customHeight="1" x14ac:dyDescent="0.25">
      <c r="B10" s="170" t="s">
        <v>4</v>
      </c>
      <c r="C10" s="172"/>
      <c r="D10" s="44">
        <v>44562</v>
      </c>
      <c r="E10" s="174" t="s">
        <v>7</v>
      </c>
      <c r="F10" s="169"/>
      <c r="J10" s="17"/>
      <c r="K10" s="18"/>
    </row>
    <row r="11" spans="2:15" ht="17.45" customHeight="1" x14ac:dyDescent="0.25">
      <c r="B11" s="170" t="s">
        <v>5</v>
      </c>
      <c r="C11" s="172"/>
      <c r="D11" s="54">
        <f>IF(OR(D9="",D10=""),"",(360-(D9-D10)))</f>
        <v>179</v>
      </c>
      <c r="E11" s="174"/>
      <c r="F11" s="169"/>
    </row>
    <row r="12" spans="2:15" ht="17.45" customHeight="1" x14ac:dyDescent="0.25">
      <c r="B12" s="170" t="s">
        <v>6</v>
      </c>
      <c r="C12" s="172"/>
      <c r="D12" s="54">
        <f>IF(OR(D9="",D10=""),"",360-D11)</f>
        <v>181</v>
      </c>
      <c r="E12" s="41"/>
      <c r="F12" s="10"/>
    </row>
    <row r="13" spans="2:15" ht="20.45" customHeight="1" x14ac:dyDescent="0.3"/>
    <row r="14" spans="2:15" x14ac:dyDescent="0.25">
      <c r="B14" s="3" t="s">
        <v>8</v>
      </c>
      <c r="C14" s="3"/>
    </row>
    <row r="15" spans="2:15" ht="5.45" customHeight="1" x14ac:dyDescent="0.3"/>
    <row r="16" spans="2:15" s="21" customFormat="1" ht="32.1" customHeight="1" x14ac:dyDescent="0.25">
      <c r="B16" s="20" t="s">
        <v>9</v>
      </c>
      <c r="C16" s="176" t="s">
        <v>10</v>
      </c>
      <c r="D16" s="176"/>
      <c r="E16" s="20" t="s">
        <v>11</v>
      </c>
      <c r="F16" s="20" t="s">
        <v>12</v>
      </c>
      <c r="G16" s="20" t="s">
        <v>13</v>
      </c>
    </row>
    <row r="17" spans="1:7" ht="14.45" customHeight="1" x14ac:dyDescent="0.3">
      <c r="B17" s="46">
        <f>IF(OR(D8="",D7="",D11=""),"",1)</f>
        <v>1</v>
      </c>
      <c r="C17" s="175">
        <f>IF(D7="","",D7)</f>
        <v>25562.82</v>
      </c>
      <c r="D17" s="175"/>
      <c r="E17" s="47">
        <f>IF(OR(B17="",D11=""),"",(D$7/D$8)*D11/360)</f>
        <v>2542.0804333333335</v>
      </c>
      <c r="F17" s="47">
        <f>E17</f>
        <v>2542.0804333333335</v>
      </c>
      <c r="G17" s="47">
        <f>IF(B17="","",C17-E17)</f>
        <v>23020.739566666667</v>
      </c>
    </row>
    <row r="18" spans="1:7" ht="14.45" customHeight="1" x14ac:dyDescent="0.3">
      <c r="B18" s="46">
        <f>IF(B17="","",IF(B17+1&gt;D$8+1,"",B17+1))</f>
        <v>2</v>
      </c>
      <c r="C18" s="175">
        <f>IF(B18="","",C17-E17)</f>
        <v>23020.739566666667</v>
      </c>
      <c r="D18" s="175"/>
      <c r="E18" s="47">
        <f>IF(B18="","",IF(B18=D$8+1,(D$7/D$8)*(D$12/360),D$7/D$8))</f>
        <v>5112.5640000000003</v>
      </c>
      <c r="F18" s="47">
        <f>IF(B18="","",F17+E18)</f>
        <v>7654.6444333333338</v>
      </c>
      <c r="G18" s="47">
        <f t="shared" ref="G18:G21" si="0">IF(B18="","",C18-E18)</f>
        <v>17908.175566666665</v>
      </c>
    </row>
    <row r="19" spans="1:7" ht="14.45" customHeight="1" x14ac:dyDescent="0.3">
      <c r="B19" s="46">
        <f t="shared" ref="B19:B27" si="1">IF(B18="","",IF(B18+1&gt;D$8+1,"",B18+1))</f>
        <v>3</v>
      </c>
      <c r="C19" s="175">
        <f t="shared" ref="C19:C20" si="2">IF(B19="","",C18-E18)</f>
        <v>17908.175566666665</v>
      </c>
      <c r="D19" s="175"/>
      <c r="E19" s="47">
        <f t="shared" ref="E19:E21" si="3">IF(B19="","",IF(B19=D$8+1,(D$7/D$8)*(D$12/360),D$7/D$8))</f>
        <v>5112.5640000000003</v>
      </c>
      <c r="F19" s="47">
        <f t="shared" ref="F19:F21" si="4">IF(B19="","",F18+E19)</f>
        <v>12767.208433333333</v>
      </c>
      <c r="G19" s="47">
        <f t="shared" si="0"/>
        <v>12795.611566666665</v>
      </c>
    </row>
    <row r="20" spans="1:7" ht="14.45" customHeight="1" x14ac:dyDescent="0.3">
      <c r="B20" s="46">
        <f t="shared" si="1"/>
        <v>4</v>
      </c>
      <c r="C20" s="175">
        <f t="shared" si="2"/>
        <v>12795.611566666665</v>
      </c>
      <c r="D20" s="175"/>
      <c r="E20" s="47">
        <f t="shared" si="3"/>
        <v>5112.5640000000003</v>
      </c>
      <c r="F20" s="47">
        <f t="shared" si="4"/>
        <v>17879.772433333332</v>
      </c>
      <c r="G20" s="47">
        <f t="shared" si="0"/>
        <v>7683.0475666666644</v>
      </c>
    </row>
    <row r="21" spans="1:7" ht="14.45" customHeight="1" x14ac:dyDescent="0.3">
      <c r="B21" s="46">
        <f t="shared" si="1"/>
        <v>5</v>
      </c>
      <c r="C21" s="175">
        <f>IF(B21="","",C20-E20)</f>
        <v>7683.0475666666644</v>
      </c>
      <c r="D21" s="175"/>
      <c r="E21" s="47">
        <f t="shared" si="3"/>
        <v>5112.5640000000003</v>
      </c>
      <c r="F21" s="47">
        <f t="shared" si="4"/>
        <v>22992.33643333333</v>
      </c>
      <c r="G21" s="47">
        <f t="shared" si="0"/>
        <v>2570.483566666664</v>
      </c>
    </row>
    <row r="22" spans="1:7" ht="14.45" customHeight="1" x14ac:dyDescent="0.3">
      <c r="B22" s="48">
        <f t="shared" si="1"/>
        <v>6</v>
      </c>
      <c r="C22" s="173">
        <f>IF(B22="","",C21-E21)</f>
        <v>2570.483566666664</v>
      </c>
      <c r="D22" s="173"/>
      <c r="E22" s="49">
        <f t="shared" ref="E22:E27" si="5">IF(B22="","",IF(B22=D$8+1,(D$7/D$8)*(D$12/360),D$7/D$8))</f>
        <v>2570.4835666666668</v>
      </c>
      <c r="F22" s="49">
        <f>IF(B22="","",F21+E22)</f>
        <v>25562.819999999996</v>
      </c>
      <c r="G22" s="49">
        <f t="shared" ref="G22:G27" si="6">IF(B22="","",C22-E22)</f>
        <v>-2.7284841053187847E-12</v>
      </c>
    </row>
    <row r="23" spans="1:7" ht="14.45" customHeight="1" x14ac:dyDescent="0.3">
      <c r="B23" s="48" t="str">
        <f t="shared" si="1"/>
        <v/>
      </c>
      <c r="C23" s="173" t="str">
        <f t="shared" ref="C23:C24" si="7">IF(B23="","",C22-E22)</f>
        <v/>
      </c>
      <c r="D23" s="173"/>
      <c r="E23" s="49" t="str">
        <f t="shared" si="5"/>
        <v/>
      </c>
      <c r="F23" s="49" t="str">
        <f t="shared" ref="F23:F27" si="8">IF(B23="","",F22+E23)</f>
        <v/>
      </c>
      <c r="G23" s="49" t="str">
        <f t="shared" si="6"/>
        <v/>
      </c>
    </row>
    <row r="24" spans="1:7" ht="14.45" customHeight="1" x14ac:dyDescent="0.3">
      <c r="B24" s="48" t="str">
        <f t="shared" si="1"/>
        <v/>
      </c>
      <c r="C24" s="173" t="str">
        <f t="shared" si="7"/>
        <v/>
      </c>
      <c r="D24" s="173"/>
      <c r="E24" s="49" t="str">
        <f t="shared" si="5"/>
        <v/>
      </c>
      <c r="F24" s="49" t="str">
        <f t="shared" si="8"/>
        <v/>
      </c>
      <c r="G24" s="49" t="str">
        <f t="shared" si="6"/>
        <v/>
      </c>
    </row>
    <row r="25" spans="1:7" ht="14.45" customHeight="1" x14ac:dyDescent="0.3">
      <c r="B25" s="48" t="str">
        <f t="shared" si="1"/>
        <v/>
      </c>
      <c r="C25" s="173" t="str">
        <f t="shared" ref="C25:C26" si="9">IF(B25="","",C24-E24)</f>
        <v/>
      </c>
      <c r="D25" s="173"/>
      <c r="E25" s="49" t="str">
        <f t="shared" si="5"/>
        <v/>
      </c>
      <c r="F25" s="49" t="str">
        <f t="shared" si="8"/>
        <v/>
      </c>
      <c r="G25" s="49" t="str">
        <f t="shared" si="6"/>
        <v/>
      </c>
    </row>
    <row r="26" spans="1:7" ht="14.45" customHeight="1" x14ac:dyDescent="0.3">
      <c r="B26" s="48" t="str">
        <f t="shared" si="1"/>
        <v/>
      </c>
      <c r="C26" s="173" t="str">
        <f t="shared" si="9"/>
        <v/>
      </c>
      <c r="D26" s="173"/>
      <c r="E26" s="49" t="str">
        <f t="shared" si="5"/>
        <v/>
      </c>
      <c r="F26" s="49" t="str">
        <f t="shared" si="8"/>
        <v/>
      </c>
      <c r="G26" s="49" t="str">
        <f t="shared" si="6"/>
        <v/>
      </c>
    </row>
    <row r="27" spans="1:7" ht="14.45" customHeight="1" x14ac:dyDescent="0.3">
      <c r="B27" s="48" t="str">
        <f t="shared" si="1"/>
        <v/>
      </c>
      <c r="C27" s="173" t="str">
        <f t="shared" ref="C27" si="10">IF(B27="","",C26-E26)</f>
        <v/>
      </c>
      <c r="D27" s="173"/>
      <c r="E27" s="49" t="str">
        <f t="shared" si="5"/>
        <v/>
      </c>
      <c r="F27" s="49" t="str">
        <f t="shared" si="8"/>
        <v/>
      </c>
      <c r="G27" s="49" t="str">
        <f t="shared" si="6"/>
        <v/>
      </c>
    </row>
    <row r="28" spans="1:7" ht="14.45" x14ac:dyDescent="0.3">
      <c r="A28"/>
      <c r="B28" s="5"/>
      <c r="C28" s="5"/>
      <c r="D28" s="5"/>
      <c r="E28" s="5"/>
      <c r="F28" s="5"/>
      <c r="G28" s="5"/>
    </row>
  </sheetData>
  <mergeCells count="20">
    <mergeCell ref="B11:C11"/>
    <mergeCell ref="C26:D26"/>
    <mergeCell ref="C25:D25"/>
    <mergeCell ref="C27:D27"/>
    <mergeCell ref="E10:F11"/>
    <mergeCell ref="C17:D17"/>
    <mergeCell ref="C18:D18"/>
    <mergeCell ref="C19:D19"/>
    <mergeCell ref="C20:D20"/>
    <mergeCell ref="C21:D21"/>
    <mergeCell ref="C24:D24"/>
    <mergeCell ref="C22:D22"/>
    <mergeCell ref="C23:D23"/>
    <mergeCell ref="C16:D16"/>
    <mergeCell ref="B12:C12"/>
    <mergeCell ref="E7:F8"/>
    <mergeCell ref="B7:C7"/>
    <mergeCell ref="B8:C8"/>
    <mergeCell ref="B9:C9"/>
    <mergeCell ref="B10:C10"/>
  </mergeCell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2"/>
  <sheetViews>
    <sheetView zoomScaleNormal="100" zoomScaleSheetLayoutView="100" workbookViewId="0">
      <selection activeCell="F10" sqref="F10"/>
    </sheetView>
  </sheetViews>
  <sheetFormatPr defaultColWidth="8.7109375" defaultRowHeight="15" x14ac:dyDescent="0.25"/>
  <cols>
    <col min="1" max="1" width="5.140625" style="1" customWidth="1"/>
    <col min="2" max="2" width="15.28515625" style="1" customWidth="1"/>
    <col min="3" max="3" width="13.140625" style="1" customWidth="1"/>
    <col min="4" max="4" width="11.140625" style="1" customWidth="1"/>
    <col min="5" max="5" width="22.28515625" style="1" customWidth="1"/>
    <col min="6" max="6" width="26.140625" style="1" customWidth="1"/>
    <col min="7" max="7" width="19.7109375" style="1" customWidth="1"/>
    <col min="8" max="8" width="14" style="1" customWidth="1"/>
    <col min="9" max="9" width="17.7109375" style="1" hidden="1" customWidth="1"/>
    <col min="10" max="10" width="8.7109375" style="9" hidden="1" customWidth="1"/>
    <col min="11" max="11" width="0" style="9" hidden="1" customWidth="1"/>
    <col min="12" max="16384" width="8.7109375" style="1"/>
  </cols>
  <sheetData>
    <row r="1" spans="2:17" ht="35.450000000000003" customHeight="1" x14ac:dyDescent="0.3"/>
    <row r="2" spans="2:17" ht="45" x14ac:dyDescent="0.6">
      <c r="B2" s="7" t="s">
        <v>14</v>
      </c>
      <c r="C2" s="2"/>
    </row>
    <row r="3" spans="2:17" ht="30" customHeight="1" x14ac:dyDescent="0.3"/>
    <row r="4" spans="2:17" ht="14.45" x14ac:dyDescent="0.3">
      <c r="J4" s="9" t="s">
        <v>21</v>
      </c>
      <c r="K4" s="9">
        <v>12</v>
      </c>
    </row>
    <row r="5" spans="2:17" x14ac:dyDescent="0.25">
      <c r="B5" s="3" t="s">
        <v>59</v>
      </c>
      <c r="C5" s="3"/>
      <c r="G5" s="3" t="s">
        <v>33</v>
      </c>
      <c r="J5" s="9" t="s">
        <v>22</v>
      </c>
      <c r="K5" s="9">
        <v>11</v>
      </c>
      <c r="O5" s="19"/>
      <c r="Q5" s="14"/>
    </row>
    <row r="6" spans="2:17" ht="4.5" customHeight="1" x14ac:dyDescent="0.3">
      <c r="J6" s="9" t="s">
        <v>23</v>
      </c>
      <c r="K6" s="9">
        <v>10</v>
      </c>
      <c r="N6" s="13"/>
      <c r="O6" s="13"/>
      <c r="Q6" s="14"/>
    </row>
    <row r="7" spans="2:17" ht="20.100000000000001" customHeight="1" x14ac:dyDescent="0.25">
      <c r="B7" s="170" t="s">
        <v>60</v>
      </c>
      <c r="C7" s="171"/>
      <c r="D7" s="62">
        <v>10000</v>
      </c>
      <c r="E7" s="169" t="s">
        <v>61</v>
      </c>
      <c r="F7" s="169"/>
      <c r="G7" s="8" t="s">
        <v>34</v>
      </c>
      <c r="H7" s="8" t="s">
        <v>20</v>
      </c>
      <c r="I7" s="11"/>
      <c r="J7" s="9" t="s">
        <v>24</v>
      </c>
      <c r="K7" s="9">
        <v>9</v>
      </c>
    </row>
    <row r="8" spans="2:17" ht="20.100000000000001" customHeight="1" x14ac:dyDescent="0.25">
      <c r="B8" s="170" t="s">
        <v>18</v>
      </c>
      <c r="C8" s="172"/>
      <c r="D8" s="63">
        <v>10</v>
      </c>
      <c r="E8" s="169"/>
      <c r="F8" s="169"/>
      <c r="G8" s="57" t="s">
        <v>35</v>
      </c>
      <c r="H8" s="54">
        <v>1.25</v>
      </c>
      <c r="I8" s="4"/>
      <c r="J8" s="9" t="s">
        <v>25</v>
      </c>
      <c r="K8" s="9">
        <v>8</v>
      </c>
    </row>
    <row r="9" spans="2:17" ht="20.100000000000001" customHeight="1" x14ac:dyDescent="0.25">
      <c r="B9" s="170" t="s">
        <v>19</v>
      </c>
      <c r="C9" s="172"/>
      <c r="D9" s="53" t="s">
        <v>23</v>
      </c>
      <c r="E9" s="43"/>
      <c r="F9" s="10"/>
      <c r="G9" s="57" t="s">
        <v>36</v>
      </c>
      <c r="H9" s="54">
        <v>1.75</v>
      </c>
      <c r="I9" s="4"/>
      <c r="J9" s="9" t="s">
        <v>26</v>
      </c>
      <c r="K9" s="9">
        <v>7</v>
      </c>
      <c r="O9" s="19"/>
    </row>
    <row r="10" spans="2:17" ht="20.100000000000001" customHeight="1" x14ac:dyDescent="0.25">
      <c r="B10" s="170" t="s">
        <v>20</v>
      </c>
      <c r="C10" s="172"/>
      <c r="D10" s="54">
        <f>IF(OR(D7="",D8=""),"",IF(D8&lt;5,H8,IF(D8&lt;7,H9,H10)))</f>
        <v>2.25</v>
      </c>
      <c r="E10" s="55"/>
      <c r="F10" s="10"/>
      <c r="G10" s="57" t="s">
        <v>37</v>
      </c>
      <c r="H10" s="54">
        <v>2.25</v>
      </c>
      <c r="I10" s="4"/>
      <c r="J10" s="9" t="s">
        <v>27</v>
      </c>
      <c r="K10" s="9">
        <v>6</v>
      </c>
    </row>
    <row r="11" spans="2:17" ht="20.100000000000001" customHeight="1" x14ac:dyDescent="0.25">
      <c r="B11" s="170" t="s">
        <v>15</v>
      </c>
      <c r="C11" s="172"/>
      <c r="D11" s="56">
        <f>IF(OR(D7="",D8=""),"",(1/D8)*D10)</f>
        <v>0.22500000000000001</v>
      </c>
      <c r="E11" s="41"/>
      <c r="F11" s="10"/>
      <c r="J11" s="9" t="s">
        <v>28</v>
      </c>
      <c r="K11" s="9">
        <v>5</v>
      </c>
    </row>
    <row r="12" spans="2:17" ht="20.100000000000001" customHeight="1" x14ac:dyDescent="0.25">
      <c r="B12" s="170" t="s">
        <v>16</v>
      </c>
      <c r="C12" s="172"/>
      <c r="D12" s="54">
        <f>IF(D9="","",VLOOKUP(D9,J4:K15,2,0))</f>
        <v>10</v>
      </c>
      <c r="E12" s="177" t="s">
        <v>17</v>
      </c>
      <c r="F12" s="178"/>
      <c r="J12" s="9" t="s">
        <v>29</v>
      </c>
      <c r="K12" s="9">
        <v>4</v>
      </c>
    </row>
    <row r="13" spans="2:17" ht="24.6" customHeight="1" x14ac:dyDescent="0.3">
      <c r="J13" s="9" t="s">
        <v>30</v>
      </c>
      <c r="K13" s="9">
        <v>3</v>
      </c>
    </row>
    <row r="14" spans="2:17" x14ac:dyDescent="0.25">
      <c r="B14" s="3" t="s">
        <v>8</v>
      </c>
      <c r="C14" s="3"/>
      <c r="J14" s="9" t="s">
        <v>31</v>
      </c>
      <c r="K14" s="9">
        <v>2</v>
      </c>
    </row>
    <row r="15" spans="2:17" ht="5.45" customHeight="1" x14ac:dyDescent="0.25">
      <c r="J15" s="9" t="s">
        <v>32</v>
      </c>
      <c r="K15" s="9">
        <v>1</v>
      </c>
    </row>
    <row r="16" spans="2:17" s="21" customFormat="1" ht="32.1" customHeight="1" x14ac:dyDescent="0.25">
      <c r="B16" s="20" t="s">
        <v>9</v>
      </c>
      <c r="C16" s="176" t="s">
        <v>10</v>
      </c>
      <c r="D16" s="176"/>
      <c r="E16" s="20" t="s">
        <v>11</v>
      </c>
      <c r="F16" s="20" t="s">
        <v>12</v>
      </c>
      <c r="G16" s="20" t="s">
        <v>13</v>
      </c>
      <c r="H16" s="22" t="s">
        <v>38</v>
      </c>
      <c r="I16" s="21" t="s">
        <v>39</v>
      </c>
    </row>
    <row r="17" spans="1:9" ht="16.5" customHeight="1" x14ac:dyDescent="0.3">
      <c r="B17" s="46">
        <f>IF(OR(D8="",D7="",D9=""),"",1)</f>
        <v>1</v>
      </c>
      <c r="C17" s="175">
        <f>IF(D7="","",D7)</f>
        <v>10000</v>
      </c>
      <c r="D17" s="175"/>
      <c r="E17" s="47">
        <f>IF(B17="","",(IF(D$11&gt;H17,C17*D$11,C17*G17))*D12/12)</f>
        <v>1875</v>
      </c>
      <c r="F17" s="47">
        <f>E17</f>
        <v>1875</v>
      </c>
      <c r="G17" s="47">
        <f>IF(B17="","",C17-E17)</f>
        <v>8125</v>
      </c>
      <c r="H17" s="58">
        <f>IF(B17="","",1/I17)</f>
        <v>0.1</v>
      </c>
      <c r="I17" s="6">
        <f>IF(D8="","",D8)</f>
        <v>10</v>
      </c>
    </row>
    <row r="18" spans="1:9" ht="16.5" customHeight="1" x14ac:dyDescent="0.3">
      <c r="B18" s="46">
        <f>IF(OR(B17="",D$7=""),"",IF(B17+1&gt;D$8,"",B17+1))</f>
        <v>2</v>
      </c>
      <c r="C18" s="175">
        <f>IF(B18="","",C17-E17)</f>
        <v>8125</v>
      </c>
      <c r="D18" s="175"/>
      <c r="E18" s="47">
        <f>IF(B18="","",IF(D$11&gt;H18,C18*D$11,C18*H18))</f>
        <v>1828.125</v>
      </c>
      <c r="F18" s="47">
        <f>IF(B18="","",F17+E18)</f>
        <v>3703.125</v>
      </c>
      <c r="G18" s="47">
        <f t="shared" ref="G18:G22" si="0">IF(B18="","",C18-E18)</f>
        <v>6296.875</v>
      </c>
      <c r="H18" s="58">
        <f t="shared" ref="H18:H26" si="1">IF(B18="","",1/I18)</f>
        <v>0.1111111111111111</v>
      </c>
      <c r="I18" s="6">
        <f>IF(B18="","",I17-1)</f>
        <v>9</v>
      </c>
    </row>
    <row r="19" spans="1:9" ht="16.5" customHeight="1" x14ac:dyDescent="0.3">
      <c r="B19" s="46">
        <f t="shared" ref="B19:B26" si="2">IF(OR(B18="",D$7=""),"",IF(B18+1&gt;D$8,"",B18+1))</f>
        <v>3</v>
      </c>
      <c r="C19" s="175">
        <f t="shared" ref="C19:C20" si="3">IF(B19="","",C18-E18)</f>
        <v>6296.875</v>
      </c>
      <c r="D19" s="175"/>
      <c r="E19" s="47">
        <f t="shared" ref="E19:E26" si="4">IF(B19="","",IF(D$11&gt;H19,C19*D$11,C19*H19))</f>
        <v>1416.796875</v>
      </c>
      <c r="F19" s="47">
        <f t="shared" ref="F19:F21" si="5">IF(B19="","",F18+E19)</f>
        <v>5119.921875</v>
      </c>
      <c r="G19" s="47">
        <f t="shared" si="0"/>
        <v>4880.078125</v>
      </c>
      <c r="H19" s="58">
        <f t="shared" si="1"/>
        <v>0.125</v>
      </c>
      <c r="I19" s="6">
        <f t="shared" ref="I19:I26" si="6">IF(B19="","",I18-1)</f>
        <v>8</v>
      </c>
    </row>
    <row r="20" spans="1:9" ht="16.5" customHeight="1" x14ac:dyDescent="0.3">
      <c r="B20" s="46">
        <f t="shared" si="2"/>
        <v>4</v>
      </c>
      <c r="C20" s="175">
        <f t="shared" si="3"/>
        <v>4880.078125</v>
      </c>
      <c r="D20" s="175"/>
      <c r="E20" s="47">
        <f t="shared" si="4"/>
        <v>1098.017578125</v>
      </c>
      <c r="F20" s="47">
        <f t="shared" si="5"/>
        <v>6217.939453125</v>
      </c>
      <c r="G20" s="47">
        <f t="shared" si="0"/>
        <v>3782.060546875</v>
      </c>
      <c r="H20" s="58">
        <f t="shared" si="1"/>
        <v>0.14285714285714285</v>
      </c>
      <c r="I20" s="6">
        <f t="shared" si="6"/>
        <v>7</v>
      </c>
    </row>
    <row r="21" spans="1:9" ht="16.5" customHeight="1" x14ac:dyDescent="0.3">
      <c r="B21" s="46">
        <f t="shared" si="2"/>
        <v>5</v>
      </c>
      <c r="C21" s="175">
        <f>IF(B21="","",C20-E20)</f>
        <v>3782.060546875</v>
      </c>
      <c r="D21" s="175"/>
      <c r="E21" s="47">
        <f t="shared" si="4"/>
        <v>850.963623046875</v>
      </c>
      <c r="F21" s="47">
        <f t="shared" si="5"/>
        <v>7068.903076171875</v>
      </c>
      <c r="G21" s="47">
        <f t="shared" si="0"/>
        <v>2931.096923828125</v>
      </c>
      <c r="H21" s="58">
        <f t="shared" si="1"/>
        <v>0.16666666666666666</v>
      </c>
      <c r="I21" s="6">
        <f t="shared" si="6"/>
        <v>6</v>
      </c>
    </row>
    <row r="22" spans="1:9" ht="16.5" customHeight="1" x14ac:dyDescent="0.3">
      <c r="B22" s="46">
        <f t="shared" si="2"/>
        <v>6</v>
      </c>
      <c r="C22" s="175">
        <f>IF(B22="","",C21-E21)</f>
        <v>2931.096923828125</v>
      </c>
      <c r="D22" s="175"/>
      <c r="E22" s="47">
        <f t="shared" si="4"/>
        <v>659.49680786132819</v>
      </c>
      <c r="F22" s="47">
        <f>IF(B22="","",F21+E22)</f>
        <v>7728.3998840332033</v>
      </c>
      <c r="G22" s="47">
        <f t="shared" si="0"/>
        <v>2271.6001159667967</v>
      </c>
      <c r="H22" s="58">
        <f t="shared" si="1"/>
        <v>0.2</v>
      </c>
      <c r="I22" s="6">
        <f t="shared" si="6"/>
        <v>5</v>
      </c>
    </row>
    <row r="23" spans="1:9" ht="16.5" customHeight="1" x14ac:dyDescent="0.3">
      <c r="B23" s="46">
        <f t="shared" si="2"/>
        <v>7</v>
      </c>
      <c r="C23" s="175">
        <f t="shared" ref="C23:C24" si="7">IF(B23="","",C22-E22)</f>
        <v>2271.6001159667967</v>
      </c>
      <c r="D23" s="175"/>
      <c r="E23" s="47">
        <f t="shared" si="4"/>
        <v>567.90002899169917</v>
      </c>
      <c r="F23" s="47">
        <f t="shared" ref="F23:F24" si="8">IF(B23="","",F22+E23)</f>
        <v>8296.2999130249027</v>
      </c>
      <c r="G23" s="47">
        <f t="shared" ref="G23:G24" si="9">IF(B23="","",C23-E23)</f>
        <v>1703.7000869750975</v>
      </c>
      <c r="H23" s="58">
        <f t="shared" si="1"/>
        <v>0.25</v>
      </c>
      <c r="I23" s="6">
        <f t="shared" si="6"/>
        <v>4</v>
      </c>
    </row>
    <row r="24" spans="1:9" ht="16.5" customHeight="1" x14ac:dyDescent="0.3">
      <c r="B24" s="46">
        <f t="shared" si="2"/>
        <v>8</v>
      </c>
      <c r="C24" s="175">
        <f t="shared" si="7"/>
        <v>1703.7000869750975</v>
      </c>
      <c r="D24" s="175"/>
      <c r="E24" s="47">
        <f t="shared" si="4"/>
        <v>567.90002899169917</v>
      </c>
      <c r="F24" s="47">
        <f t="shared" si="8"/>
        <v>8864.1999420166012</v>
      </c>
      <c r="G24" s="47">
        <f t="shared" si="9"/>
        <v>1135.8000579833983</v>
      </c>
      <c r="H24" s="58">
        <f t="shared" si="1"/>
        <v>0.33333333333333331</v>
      </c>
      <c r="I24" s="6">
        <f t="shared" si="6"/>
        <v>3</v>
      </c>
    </row>
    <row r="25" spans="1:9" ht="16.5" customHeight="1" x14ac:dyDescent="0.3">
      <c r="B25" s="46">
        <f t="shared" si="2"/>
        <v>9</v>
      </c>
      <c r="C25" s="175">
        <f t="shared" ref="C25" si="10">IF(B25="","",C24-E24)</f>
        <v>1135.8000579833983</v>
      </c>
      <c r="D25" s="175"/>
      <c r="E25" s="47">
        <f t="shared" si="4"/>
        <v>567.90002899169917</v>
      </c>
      <c r="F25" s="47">
        <f t="shared" ref="F25" si="11">IF(B25="","",F24+E25)</f>
        <v>9432.0999710082997</v>
      </c>
      <c r="G25" s="47">
        <f t="shared" ref="G25" si="12">IF(B25="","",C25-E25)</f>
        <v>567.90002899169917</v>
      </c>
      <c r="H25" s="58">
        <f t="shared" si="1"/>
        <v>0.5</v>
      </c>
      <c r="I25" s="6">
        <f t="shared" si="6"/>
        <v>2</v>
      </c>
    </row>
    <row r="26" spans="1:9" ht="16.5" customHeight="1" x14ac:dyDescent="0.3">
      <c r="B26" s="46">
        <f t="shared" si="2"/>
        <v>10</v>
      </c>
      <c r="C26" s="175">
        <f t="shared" ref="C26" si="13">IF(B26="","",C25-E25)</f>
        <v>567.90002899169917</v>
      </c>
      <c r="D26" s="175"/>
      <c r="E26" s="47">
        <f t="shared" si="4"/>
        <v>567.90002899169917</v>
      </c>
      <c r="F26" s="47">
        <f t="shared" ref="F26" si="14">IF(B26="","",F25+E26)</f>
        <v>9999.9999999999982</v>
      </c>
      <c r="G26" s="47">
        <f t="shared" ref="G26" si="15">IF(B26="","",C26-E26)</f>
        <v>0</v>
      </c>
      <c r="H26" s="58">
        <f t="shared" si="1"/>
        <v>1</v>
      </c>
      <c r="I26" s="6">
        <f t="shared" si="6"/>
        <v>1</v>
      </c>
    </row>
    <row r="27" spans="1:9" ht="14.45" x14ac:dyDescent="0.3">
      <c r="A27"/>
      <c r="B27" s="5"/>
      <c r="C27" s="5"/>
      <c r="D27" s="5"/>
      <c r="E27" s="5"/>
      <c r="F27" s="5"/>
      <c r="G27" s="5"/>
      <c r="H27" s="5"/>
    </row>
    <row r="29" spans="1:9" x14ac:dyDescent="0.25">
      <c r="B29" s="10"/>
    </row>
    <row r="42" spans="2:2" x14ac:dyDescent="0.25">
      <c r="B42" s="10"/>
    </row>
  </sheetData>
  <mergeCells count="19">
    <mergeCell ref="E12:F12"/>
    <mergeCell ref="B12:C12"/>
    <mergeCell ref="C16:D16"/>
    <mergeCell ref="B7:C7"/>
    <mergeCell ref="B8:C8"/>
    <mergeCell ref="B9:C9"/>
    <mergeCell ref="B10:C10"/>
    <mergeCell ref="B11:C11"/>
    <mergeCell ref="E7:F8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</mergeCells>
  <dataValidations count="1">
    <dataValidation type="list" showInputMessage="1" showErrorMessage="1" sqref="D9" xr:uid="{00000000-0002-0000-0100-000000000000}">
      <formula1>$J$4:$J$15</formula1>
    </dataValidation>
  </dataValidations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0"/>
  <sheetViews>
    <sheetView zoomScale="107" zoomScaleNormal="125" zoomScaleSheetLayoutView="125" workbookViewId="0">
      <selection activeCell="O21" sqref="O21"/>
    </sheetView>
  </sheetViews>
  <sheetFormatPr defaultColWidth="8.7109375" defaultRowHeight="15" x14ac:dyDescent="0.25"/>
  <cols>
    <col min="1" max="1" width="5.140625" style="1" customWidth="1"/>
    <col min="2" max="2" width="19.140625" style="1" customWidth="1"/>
    <col min="3" max="3" width="12" style="1" customWidth="1"/>
    <col min="4" max="4" width="11.28515625" style="1" customWidth="1"/>
    <col min="5" max="5" width="17.140625" style="1" customWidth="1"/>
    <col min="6" max="6" width="15.140625" style="1" customWidth="1"/>
    <col min="7" max="7" width="24.140625" style="1" customWidth="1"/>
    <col min="8" max="16384" width="8.7109375" style="1"/>
  </cols>
  <sheetData>
    <row r="1" spans="2:15" ht="45" x14ac:dyDescent="0.6">
      <c r="B1" s="36" t="s">
        <v>40</v>
      </c>
      <c r="C1" s="2"/>
      <c r="E1" s="183" t="s">
        <v>57</v>
      </c>
      <c r="F1" s="183"/>
      <c r="G1" s="183"/>
    </row>
    <row r="2" spans="2:15" ht="14.25" customHeight="1" x14ac:dyDescent="0.3"/>
    <row r="3" spans="2:15" ht="14.45" x14ac:dyDescent="0.3">
      <c r="J3" s="14"/>
    </row>
    <row r="4" spans="2:15" ht="15.75" x14ac:dyDescent="0.25">
      <c r="B4" s="3" t="s">
        <v>59</v>
      </c>
      <c r="C4" s="3"/>
      <c r="E4" s="179" t="s">
        <v>66</v>
      </c>
      <c r="F4" s="180"/>
      <c r="I4" s="14"/>
      <c r="J4" s="15"/>
      <c r="K4" s="16"/>
      <c r="M4" s="19"/>
      <c r="O4" s="14"/>
    </row>
    <row r="5" spans="2:15" ht="4.5" customHeight="1" x14ac:dyDescent="0.3">
      <c r="I5" s="14"/>
      <c r="J5" s="14"/>
      <c r="K5" s="12"/>
      <c r="L5" s="13"/>
      <c r="M5" s="13"/>
      <c r="O5" s="14"/>
    </row>
    <row r="6" spans="2:15" ht="17.45" customHeight="1" x14ac:dyDescent="0.3">
      <c r="B6" s="170" t="s">
        <v>58</v>
      </c>
      <c r="C6" s="171"/>
      <c r="D6" s="62">
        <v>25562.82</v>
      </c>
      <c r="E6" s="181" t="s">
        <v>41</v>
      </c>
      <c r="F6" s="182"/>
      <c r="G6" s="60"/>
      <c r="J6" s="14"/>
    </row>
    <row r="7" spans="2:15" ht="17.45" customHeight="1" x14ac:dyDescent="0.25">
      <c r="B7" s="170" t="s">
        <v>2</v>
      </c>
      <c r="C7" s="172"/>
      <c r="D7" s="61">
        <v>5</v>
      </c>
      <c r="E7" s="41"/>
      <c r="F7" s="10"/>
      <c r="G7" s="10"/>
      <c r="J7" s="15"/>
      <c r="K7" s="16"/>
    </row>
    <row r="8" spans="2:15" ht="17.45" customHeight="1" x14ac:dyDescent="0.3">
      <c r="B8" s="170" t="s">
        <v>3</v>
      </c>
      <c r="C8" s="172"/>
      <c r="D8" s="42">
        <v>44743</v>
      </c>
      <c r="E8" s="43"/>
      <c r="F8" s="10"/>
      <c r="G8" s="10"/>
      <c r="J8" s="17"/>
      <c r="K8" s="12"/>
      <c r="M8" s="19"/>
    </row>
    <row r="9" spans="2:15" ht="17.45" customHeight="1" x14ac:dyDescent="0.25">
      <c r="B9" s="170" t="s">
        <v>64</v>
      </c>
      <c r="C9" s="172"/>
      <c r="D9" s="44">
        <v>44562</v>
      </c>
      <c r="E9" s="10"/>
      <c r="F9" s="10"/>
      <c r="G9" s="10"/>
      <c r="J9" s="17"/>
      <c r="K9" s="18"/>
    </row>
    <row r="10" spans="2:15" ht="17.45" customHeight="1" x14ac:dyDescent="0.25">
      <c r="B10" s="170" t="s">
        <v>5</v>
      </c>
      <c r="C10" s="172"/>
      <c r="D10" s="45">
        <f>IF(OR(D8="",D9=""),"",(360-(D8-D9)))</f>
        <v>179</v>
      </c>
      <c r="E10" s="10"/>
      <c r="F10" s="10"/>
      <c r="G10" s="10"/>
    </row>
    <row r="11" spans="2:15" ht="17.45" customHeight="1" x14ac:dyDescent="0.25">
      <c r="B11" s="170" t="s">
        <v>6</v>
      </c>
      <c r="C11" s="172"/>
      <c r="D11" s="45">
        <f>IF(OR(D8="",D9=""),"",360-D10)</f>
        <v>181</v>
      </c>
      <c r="E11" s="10"/>
      <c r="F11" s="10"/>
      <c r="G11" s="10"/>
    </row>
    <row r="12" spans="2:15" ht="20.45" customHeight="1" x14ac:dyDescent="0.3"/>
    <row r="13" spans="2:15" x14ac:dyDescent="0.25">
      <c r="B13" s="3" t="s">
        <v>8</v>
      </c>
      <c r="C13" s="3"/>
    </row>
    <row r="14" spans="2:15" ht="5.45" customHeight="1" x14ac:dyDescent="0.3"/>
    <row r="15" spans="2:15" s="21" customFormat="1" ht="32.1" customHeight="1" x14ac:dyDescent="0.25">
      <c r="B15" s="52" t="s">
        <v>9</v>
      </c>
      <c r="C15" s="184" t="s">
        <v>10</v>
      </c>
      <c r="D15" s="184"/>
      <c r="E15" s="52" t="s">
        <v>11</v>
      </c>
      <c r="F15" s="52" t="s">
        <v>12</v>
      </c>
      <c r="G15" s="52" t="s">
        <v>13</v>
      </c>
    </row>
    <row r="16" spans="2:15" ht="14.45" customHeight="1" x14ac:dyDescent="0.3">
      <c r="B16" s="50">
        <f>IF(OR(D7="",D6="",D10=""),"",1)</f>
        <v>1</v>
      </c>
      <c r="C16" s="185">
        <f>IF(D6="","",D6)</f>
        <v>25562.82</v>
      </c>
      <c r="D16" s="185"/>
      <c r="E16" s="51">
        <f>IF(OR(B16="",D10=""),"",(D$6/D$7)*D10/360)</f>
        <v>2542.0804333333335</v>
      </c>
      <c r="F16" s="51">
        <f>E16</f>
        <v>2542.0804333333335</v>
      </c>
      <c r="G16" s="51">
        <f>IF(B16="","",C16-E16)</f>
        <v>23020.739566666667</v>
      </c>
    </row>
    <row r="17" spans="1:7" ht="14.45" customHeight="1" x14ac:dyDescent="0.3">
      <c r="B17" s="46">
        <f>IF(B16="","",IF(B16+1&gt;D$7+1,"",B16+1))</f>
        <v>2</v>
      </c>
      <c r="C17" s="175">
        <f>IF(B17="","",C16-E16)</f>
        <v>23020.739566666667</v>
      </c>
      <c r="D17" s="175"/>
      <c r="E17" s="47">
        <f>IF(B17="","",IF(B17=D$7+1,(D$6/D$7)*(D$11/360),D$6/D$7))</f>
        <v>5112.5640000000003</v>
      </c>
      <c r="F17" s="47">
        <f>IF(B17="","",F16+E17)</f>
        <v>7654.6444333333338</v>
      </c>
      <c r="G17" s="47">
        <f t="shared" ref="G17:G26" si="0">IF(B17="","",C17-E17)</f>
        <v>17908.175566666665</v>
      </c>
    </row>
    <row r="18" spans="1:7" ht="14.45" customHeight="1" x14ac:dyDescent="0.3">
      <c r="B18" s="46">
        <f t="shared" ref="B18:B26" si="1">IF(B17="","",IF(B17+1&gt;D$7+1,"",B17+1))</f>
        <v>3</v>
      </c>
      <c r="C18" s="175">
        <f t="shared" ref="C18:C19" si="2">IF(B18="","",C17-E17)</f>
        <v>17908.175566666665</v>
      </c>
      <c r="D18" s="175"/>
      <c r="E18" s="47">
        <f t="shared" ref="E18:E26" si="3">IF(B18="","",IF(B18=D$7+1,(D$6/D$7)*(D$11/360),D$6/D$7))</f>
        <v>5112.5640000000003</v>
      </c>
      <c r="F18" s="47">
        <f t="shared" ref="F18:F20" si="4">IF(B18="","",F17+E18)</f>
        <v>12767.208433333333</v>
      </c>
      <c r="G18" s="47">
        <f t="shared" si="0"/>
        <v>12795.611566666665</v>
      </c>
    </row>
    <row r="19" spans="1:7" ht="14.45" customHeight="1" x14ac:dyDescent="0.3">
      <c r="B19" s="46">
        <f t="shared" si="1"/>
        <v>4</v>
      </c>
      <c r="C19" s="175">
        <f t="shared" si="2"/>
        <v>12795.611566666665</v>
      </c>
      <c r="D19" s="175"/>
      <c r="E19" s="47">
        <f t="shared" si="3"/>
        <v>5112.5640000000003</v>
      </c>
      <c r="F19" s="47">
        <f t="shared" si="4"/>
        <v>17879.772433333332</v>
      </c>
      <c r="G19" s="47">
        <f t="shared" si="0"/>
        <v>7683.0475666666644</v>
      </c>
    </row>
    <row r="20" spans="1:7" ht="14.45" customHeight="1" x14ac:dyDescent="0.3">
      <c r="B20" s="46">
        <f t="shared" si="1"/>
        <v>5</v>
      </c>
      <c r="C20" s="175">
        <f>IF(B20="","",C19-E19)</f>
        <v>7683.0475666666644</v>
      </c>
      <c r="D20" s="175"/>
      <c r="E20" s="47">
        <f t="shared" si="3"/>
        <v>5112.5640000000003</v>
      </c>
      <c r="F20" s="47">
        <f t="shared" si="4"/>
        <v>22992.33643333333</v>
      </c>
      <c r="G20" s="47">
        <f t="shared" si="0"/>
        <v>2570.483566666664</v>
      </c>
    </row>
    <row r="21" spans="1:7" ht="14.45" customHeight="1" x14ac:dyDescent="0.3">
      <c r="B21" s="48">
        <f t="shared" si="1"/>
        <v>6</v>
      </c>
      <c r="C21" s="173">
        <f>IF(B21="","",C20-E20)</f>
        <v>2570.483566666664</v>
      </c>
      <c r="D21" s="173"/>
      <c r="E21" s="49">
        <f t="shared" si="3"/>
        <v>2570.4835666666668</v>
      </c>
      <c r="F21" s="49">
        <f>IF(B21="","",F20+E21)</f>
        <v>25562.819999999996</v>
      </c>
      <c r="G21" s="49">
        <f t="shared" si="0"/>
        <v>-2.7284841053187847E-12</v>
      </c>
    </row>
    <row r="22" spans="1:7" ht="14.45" customHeight="1" x14ac:dyDescent="0.3">
      <c r="B22" s="48" t="str">
        <f t="shared" si="1"/>
        <v/>
      </c>
      <c r="C22" s="173" t="str">
        <f t="shared" ref="C22:C26" si="5">IF(B22="","",C21-E21)</f>
        <v/>
      </c>
      <c r="D22" s="173"/>
      <c r="E22" s="49" t="str">
        <f t="shared" si="3"/>
        <v/>
      </c>
      <c r="F22" s="49" t="str">
        <f t="shared" ref="F22:F26" si="6">IF(B22="","",F21+E22)</f>
        <v/>
      </c>
      <c r="G22" s="49" t="str">
        <f t="shared" si="0"/>
        <v/>
      </c>
    </row>
    <row r="23" spans="1:7" ht="14.45" customHeight="1" x14ac:dyDescent="0.3">
      <c r="B23" s="48" t="str">
        <f t="shared" si="1"/>
        <v/>
      </c>
      <c r="C23" s="173" t="str">
        <f t="shared" si="5"/>
        <v/>
      </c>
      <c r="D23" s="173"/>
      <c r="E23" s="49" t="str">
        <f t="shared" si="3"/>
        <v/>
      </c>
      <c r="F23" s="49" t="str">
        <f t="shared" si="6"/>
        <v/>
      </c>
      <c r="G23" s="49" t="str">
        <f t="shared" si="0"/>
        <v/>
      </c>
    </row>
    <row r="24" spans="1:7" ht="14.45" customHeight="1" x14ac:dyDescent="0.3">
      <c r="B24" s="48" t="str">
        <f t="shared" si="1"/>
        <v/>
      </c>
      <c r="C24" s="173" t="str">
        <f t="shared" si="5"/>
        <v/>
      </c>
      <c r="D24" s="173"/>
      <c r="E24" s="49" t="str">
        <f t="shared" si="3"/>
        <v/>
      </c>
      <c r="F24" s="49" t="str">
        <f t="shared" si="6"/>
        <v/>
      </c>
      <c r="G24" s="49" t="str">
        <f t="shared" si="0"/>
        <v/>
      </c>
    </row>
    <row r="25" spans="1:7" ht="14.45" customHeight="1" x14ac:dyDescent="0.3">
      <c r="B25" s="48" t="str">
        <f t="shared" si="1"/>
        <v/>
      </c>
      <c r="C25" s="173" t="str">
        <f t="shared" si="5"/>
        <v/>
      </c>
      <c r="D25" s="173"/>
      <c r="E25" s="49" t="str">
        <f t="shared" si="3"/>
        <v/>
      </c>
      <c r="F25" s="49" t="str">
        <f t="shared" si="6"/>
        <v/>
      </c>
      <c r="G25" s="49" t="str">
        <f t="shared" si="0"/>
        <v/>
      </c>
    </row>
    <row r="26" spans="1:7" ht="14.45" customHeight="1" x14ac:dyDescent="0.3">
      <c r="B26" s="48" t="str">
        <f t="shared" si="1"/>
        <v/>
      </c>
      <c r="C26" s="173" t="str">
        <f t="shared" si="5"/>
        <v/>
      </c>
      <c r="D26" s="173"/>
      <c r="E26" s="49" t="str">
        <f t="shared" si="3"/>
        <v/>
      </c>
      <c r="F26" s="49" t="str">
        <f t="shared" si="6"/>
        <v/>
      </c>
      <c r="G26" s="49" t="str">
        <f t="shared" si="0"/>
        <v/>
      </c>
    </row>
    <row r="27" spans="1:7" ht="14.45" x14ac:dyDescent="0.3">
      <c r="A27"/>
      <c r="B27" s="5"/>
      <c r="C27" s="5"/>
      <c r="D27" s="5"/>
      <c r="E27" s="5"/>
      <c r="F27" s="5"/>
      <c r="G27" s="5"/>
    </row>
    <row r="28" spans="1:7" ht="42.75" customHeight="1" x14ac:dyDescent="0.25">
      <c r="B28" s="169" t="s">
        <v>63</v>
      </c>
      <c r="C28" s="169"/>
    </row>
    <row r="29" spans="1:7" ht="30.75" customHeight="1" x14ac:dyDescent="0.25">
      <c r="B29" s="169" t="s">
        <v>62</v>
      </c>
      <c r="C29" s="169"/>
    </row>
    <row r="30" spans="1:7" x14ac:dyDescent="0.25">
      <c r="B30" s="169"/>
      <c r="C30" s="169"/>
    </row>
  </sheetData>
  <mergeCells count="23">
    <mergeCell ref="C26:D26"/>
    <mergeCell ref="C25:D25"/>
    <mergeCell ref="C20:D20"/>
    <mergeCell ref="C21:D21"/>
    <mergeCell ref="C22:D22"/>
    <mergeCell ref="C23:D23"/>
    <mergeCell ref="C24:D24"/>
    <mergeCell ref="E4:F4"/>
    <mergeCell ref="B29:C30"/>
    <mergeCell ref="B10:C10"/>
    <mergeCell ref="E6:F6"/>
    <mergeCell ref="E1:G1"/>
    <mergeCell ref="C19:D19"/>
    <mergeCell ref="B6:C6"/>
    <mergeCell ref="B7:C7"/>
    <mergeCell ref="B8:C8"/>
    <mergeCell ref="B9:C9"/>
    <mergeCell ref="B11:C11"/>
    <mergeCell ref="C15:D15"/>
    <mergeCell ref="C16:D16"/>
    <mergeCell ref="C17:D17"/>
    <mergeCell ref="C18:D18"/>
    <mergeCell ref="B28:C28"/>
  </mergeCells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0"/>
  <sheetViews>
    <sheetView zoomScale="107" zoomScaleNormal="125" zoomScaleSheetLayoutView="125" workbookViewId="0">
      <selection activeCell="D9" sqref="D9"/>
    </sheetView>
  </sheetViews>
  <sheetFormatPr defaultColWidth="8.7109375" defaultRowHeight="15" x14ac:dyDescent="0.25"/>
  <cols>
    <col min="1" max="1" width="5.140625" style="1" customWidth="1"/>
    <col min="2" max="2" width="19.140625" style="1" customWidth="1"/>
    <col min="3" max="3" width="12" style="1" customWidth="1"/>
    <col min="4" max="4" width="11.28515625" style="1" customWidth="1"/>
    <col min="5" max="5" width="17.140625" style="1" customWidth="1"/>
    <col min="6" max="6" width="15.140625" style="1" customWidth="1"/>
    <col min="7" max="7" width="24.140625" style="1" customWidth="1"/>
    <col min="8" max="16384" width="8.7109375" style="1"/>
  </cols>
  <sheetData>
    <row r="1" spans="2:15" ht="45" x14ac:dyDescent="0.6">
      <c r="B1" s="36" t="s">
        <v>40</v>
      </c>
      <c r="C1" s="2"/>
      <c r="E1" s="183" t="s">
        <v>57</v>
      </c>
      <c r="F1" s="183"/>
      <c r="G1" s="183"/>
    </row>
    <row r="2" spans="2:15" ht="14.25" customHeight="1" x14ac:dyDescent="0.3"/>
    <row r="3" spans="2:15" ht="14.45" x14ac:dyDescent="0.3">
      <c r="J3" s="14"/>
    </row>
    <row r="4" spans="2:15" ht="15.75" x14ac:dyDescent="0.25">
      <c r="B4" s="3" t="s">
        <v>59</v>
      </c>
      <c r="C4" s="3"/>
      <c r="E4" s="179" t="s">
        <v>66</v>
      </c>
      <c r="F4" s="180"/>
      <c r="I4" s="14"/>
      <c r="J4" s="15"/>
      <c r="K4" s="16"/>
      <c r="M4" s="19"/>
      <c r="O4" s="14"/>
    </row>
    <row r="5" spans="2:15" ht="4.5" customHeight="1" x14ac:dyDescent="0.3">
      <c r="I5" s="14"/>
      <c r="J5" s="14"/>
      <c r="K5" s="12"/>
      <c r="L5" s="13"/>
      <c r="M5" s="13"/>
      <c r="O5" s="14"/>
    </row>
    <row r="6" spans="2:15" ht="17.45" customHeight="1" x14ac:dyDescent="0.3">
      <c r="B6" s="170" t="s">
        <v>58</v>
      </c>
      <c r="C6" s="171"/>
      <c r="D6" s="62">
        <f>25562.81-8000</f>
        <v>17562.810000000001</v>
      </c>
      <c r="E6" s="181" t="s">
        <v>41</v>
      </c>
      <c r="F6" s="182"/>
      <c r="G6" s="60"/>
      <c r="J6" s="14"/>
    </row>
    <row r="7" spans="2:15" ht="17.45" customHeight="1" x14ac:dyDescent="0.25">
      <c r="B7" s="170" t="s">
        <v>2</v>
      </c>
      <c r="C7" s="172"/>
      <c r="D7" s="61">
        <v>5</v>
      </c>
      <c r="E7" s="41"/>
      <c r="F7" s="10"/>
      <c r="G7" s="10"/>
      <c r="J7" s="15"/>
      <c r="K7" s="16"/>
    </row>
    <row r="8" spans="2:15" ht="17.45" customHeight="1" x14ac:dyDescent="0.3">
      <c r="B8" s="170" t="s">
        <v>3</v>
      </c>
      <c r="C8" s="172"/>
      <c r="D8" s="42">
        <v>44742</v>
      </c>
      <c r="E8" s="43"/>
      <c r="F8" s="10"/>
      <c r="G8" s="10"/>
      <c r="J8" s="17"/>
      <c r="K8" s="12"/>
      <c r="M8" s="19"/>
    </row>
    <row r="9" spans="2:15" ht="17.45" customHeight="1" x14ac:dyDescent="0.25">
      <c r="B9" s="170" t="s">
        <v>64</v>
      </c>
      <c r="C9" s="172"/>
      <c r="D9" s="44">
        <v>44562</v>
      </c>
      <c r="E9" s="10"/>
      <c r="F9" s="10"/>
      <c r="G9" s="10"/>
      <c r="J9" s="17"/>
      <c r="K9" s="18"/>
    </row>
    <row r="10" spans="2:15" ht="17.45" customHeight="1" x14ac:dyDescent="0.25">
      <c r="B10" s="170" t="s">
        <v>5</v>
      </c>
      <c r="C10" s="172"/>
      <c r="D10" s="45">
        <f>IF(OR(D8="",D9=""),"",(360-(D8-D9)))</f>
        <v>180</v>
      </c>
      <c r="E10" s="10"/>
      <c r="F10" s="10"/>
      <c r="G10" s="10"/>
    </row>
    <row r="11" spans="2:15" ht="17.45" customHeight="1" x14ac:dyDescent="0.25">
      <c r="B11" s="170" t="s">
        <v>6</v>
      </c>
      <c r="C11" s="172"/>
      <c r="D11" s="45">
        <f>IF(OR(D8="",D9=""),"",360-D10)</f>
        <v>180</v>
      </c>
      <c r="E11" s="10"/>
      <c r="F11" s="10"/>
      <c r="G11" s="10"/>
    </row>
    <row r="12" spans="2:15" ht="20.45" customHeight="1" x14ac:dyDescent="0.3"/>
    <row r="13" spans="2:15" x14ac:dyDescent="0.25">
      <c r="B13" s="3" t="s">
        <v>8</v>
      </c>
      <c r="C13" s="3"/>
    </row>
    <row r="14" spans="2:15" ht="5.45" customHeight="1" x14ac:dyDescent="0.3"/>
    <row r="15" spans="2:15" s="21" customFormat="1" ht="32.1" customHeight="1" x14ac:dyDescent="0.25">
      <c r="B15" s="52" t="s">
        <v>9</v>
      </c>
      <c r="C15" s="184" t="s">
        <v>10</v>
      </c>
      <c r="D15" s="184"/>
      <c r="E15" s="52" t="s">
        <v>11</v>
      </c>
      <c r="F15" s="52" t="s">
        <v>12</v>
      </c>
      <c r="G15" s="52" t="s">
        <v>13</v>
      </c>
    </row>
    <row r="16" spans="2:15" ht="14.45" customHeight="1" x14ac:dyDescent="0.3">
      <c r="B16" s="50">
        <f>IF(OR(D7="",D6="",D10=""),"",1)</f>
        <v>1</v>
      </c>
      <c r="C16" s="185">
        <f>IF(D6="","",D6)</f>
        <v>17562.810000000001</v>
      </c>
      <c r="D16" s="185"/>
      <c r="E16" s="51">
        <f>IF(OR(B16="",D10=""),"",(D$6/D$7)*D10/360)</f>
        <v>1756.2810000000002</v>
      </c>
      <c r="F16" s="51">
        <f>E16</f>
        <v>1756.2810000000002</v>
      </c>
      <c r="G16" s="51">
        <f>IF(B16="","",C16-E16)</f>
        <v>15806.529</v>
      </c>
    </row>
    <row r="17" spans="1:7" ht="14.45" customHeight="1" x14ac:dyDescent="0.3">
      <c r="B17" s="46">
        <f>IF(B16="","",IF(B16+1&gt;D$7+1,"",B16+1))</f>
        <v>2</v>
      </c>
      <c r="C17" s="175">
        <f>IF(B17="","",C16-E16)</f>
        <v>15806.529</v>
      </c>
      <c r="D17" s="175"/>
      <c r="E17" s="47">
        <f>IF(B17="","",IF(B17=D$7+1,(D$6/D$7)*(D$11/360),D$6/D$7))</f>
        <v>3512.5620000000004</v>
      </c>
      <c r="F17" s="47">
        <f>IF(B17="","",F16+E17)</f>
        <v>5268.8430000000008</v>
      </c>
      <c r="G17" s="47">
        <f t="shared" ref="G17:G26" si="0">IF(B17="","",C17-E17)</f>
        <v>12293.967000000001</v>
      </c>
    </row>
    <row r="18" spans="1:7" ht="14.45" customHeight="1" x14ac:dyDescent="0.3">
      <c r="B18" s="46">
        <f t="shared" ref="B18:B26" si="1">IF(B17="","",IF(B17+1&gt;D$7+1,"",B17+1))</f>
        <v>3</v>
      </c>
      <c r="C18" s="175">
        <f t="shared" ref="C18:C19" si="2">IF(B18="","",C17-E17)</f>
        <v>12293.967000000001</v>
      </c>
      <c r="D18" s="175"/>
      <c r="E18" s="47">
        <f t="shared" ref="E18:E26" si="3">IF(B18="","",IF(B18=D$7+1,(D$6/D$7)*(D$11/360),D$6/D$7))</f>
        <v>3512.5620000000004</v>
      </c>
      <c r="F18" s="47">
        <f t="shared" ref="F18:F20" si="4">IF(B18="","",F17+E18)</f>
        <v>8781.4050000000007</v>
      </c>
      <c r="G18" s="47">
        <f t="shared" si="0"/>
        <v>8781.4050000000007</v>
      </c>
    </row>
    <row r="19" spans="1:7" ht="14.45" customHeight="1" x14ac:dyDescent="0.3">
      <c r="B19" s="46">
        <f t="shared" si="1"/>
        <v>4</v>
      </c>
      <c r="C19" s="175">
        <f t="shared" si="2"/>
        <v>8781.4050000000007</v>
      </c>
      <c r="D19" s="175"/>
      <c r="E19" s="47">
        <f t="shared" si="3"/>
        <v>3512.5620000000004</v>
      </c>
      <c r="F19" s="47">
        <f t="shared" si="4"/>
        <v>12293.967000000001</v>
      </c>
      <c r="G19" s="47">
        <f t="shared" si="0"/>
        <v>5268.8430000000008</v>
      </c>
    </row>
    <row r="20" spans="1:7" ht="14.45" customHeight="1" x14ac:dyDescent="0.3">
      <c r="B20" s="46">
        <f t="shared" si="1"/>
        <v>5</v>
      </c>
      <c r="C20" s="175">
        <f>IF(B20="","",C19-E19)</f>
        <v>5268.8430000000008</v>
      </c>
      <c r="D20" s="175"/>
      <c r="E20" s="47">
        <f t="shared" si="3"/>
        <v>3512.5620000000004</v>
      </c>
      <c r="F20" s="47">
        <f t="shared" si="4"/>
        <v>15806.529</v>
      </c>
      <c r="G20" s="47">
        <f t="shared" si="0"/>
        <v>1756.2810000000004</v>
      </c>
    </row>
    <row r="21" spans="1:7" ht="14.45" customHeight="1" x14ac:dyDescent="0.3">
      <c r="B21" s="48">
        <f t="shared" si="1"/>
        <v>6</v>
      </c>
      <c r="C21" s="173">
        <f>IF(B21="","",C20-E20)</f>
        <v>1756.2810000000004</v>
      </c>
      <c r="D21" s="173"/>
      <c r="E21" s="49">
        <f t="shared" si="3"/>
        <v>1756.2810000000002</v>
      </c>
      <c r="F21" s="49">
        <f>IF(B21="","",F20+E21)</f>
        <v>17562.810000000001</v>
      </c>
      <c r="G21" s="49">
        <f t="shared" si="0"/>
        <v>2.2737367544323206E-13</v>
      </c>
    </row>
    <row r="22" spans="1:7" ht="14.45" customHeight="1" x14ac:dyDescent="0.3">
      <c r="B22" s="48" t="str">
        <f t="shared" si="1"/>
        <v/>
      </c>
      <c r="C22" s="173" t="str">
        <f t="shared" ref="C22:C26" si="5">IF(B22="","",C21-E21)</f>
        <v/>
      </c>
      <c r="D22" s="173"/>
      <c r="E22" s="49" t="str">
        <f t="shared" si="3"/>
        <v/>
      </c>
      <c r="F22" s="49" t="str">
        <f t="shared" ref="F22:F26" si="6">IF(B22="","",F21+E22)</f>
        <v/>
      </c>
      <c r="G22" s="49" t="str">
        <f t="shared" si="0"/>
        <v/>
      </c>
    </row>
    <row r="23" spans="1:7" ht="14.45" customHeight="1" x14ac:dyDescent="0.3">
      <c r="B23" s="48" t="str">
        <f t="shared" si="1"/>
        <v/>
      </c>
      <c r="C23" s="173" t="str">
        <f t="shared" si="5"/>
        <v/>
      </c>
      <c r="D23" s="173"/>
      <c r="E23" s="49" t="str">
        <f t="shared" si="3"/>
        <v/>
      </c>
      <c r="F23" s="49" t="str">
        <f t="shared" si="6"/>
        <v/>
      </c>
      <c r="G23" s="49" t="str">
        <f t="shared" si="0"/>
        <v/>
      </c>
    </row>
    <row r="24" spans="1:7" ht="14.45" customHeight="1" x14ac:dyDescent="0.3">
      <c r="B24" s="48" t="str">
        <f t="shared" si="1"/>
        <v/>
      </c>
      <c r="C24" s="173" t="str">
        <f t="shared" si="5"/>
        <v/>
      </c>
      <c r="D24" s="173"/>
      <c r="E24" s="49" t="str">
        <f t="shared" si="3"/>
        <v/>
      </c>
      <c r="F24" s="49" t="str">
        <f t="shared" si="6"/>
        <v/>
      </c>
      <c r="G24" s="49" t="str">
        <f t="shared" si="0"/>
        <v/>
      </c>
    </row>
    <row r="25" spans="1:7" ht="14.45" customHeight="1" x14ac:dyDescent="0.3">
      <c r="B25" s="48" t="str">
        <f t="shared" si="1"/>
        <v/>
      </c>
      <c r="C25" s="173" t="str">
        <f t="shared" si="5"/>
        <v/>
      </c>
      <c r="D25" s="173"/>
      <c r="E25" s="49" t="str">
        <f t="shared" si="3"/>
        <v/>
      </c>
      <c r="F25" s="49" t="str">
        <f t="shared" si="6"/>
        <v/>
      </c>
      <c r="G25" s="49" t="str">
        <f t="shared" si="0"/>
        <v/>
      </c>
    </row>
    <row r="26" spans="1:7" ht="14.45" customHeight="1" x14ac:dyDescent="0.3">
      <c r="B26" s="48" t="str">
        <f t="shared" si="1"/>
        <v/>
      </c>
      <c r="C26" s="173" t="str">
        <f t="shared" si="5"/>
        <v/>
      </c>
      <c r="D26" s="173"/>
      <c r="E26" s="49" t="str">
        <f t="shared" si="3"/>
        <v/>
      </c>
      <c r="F26" s="49" t="str">
        <f t="shared" si="6"/>
        <v/>
      </c>
      <c r="G26" s="49" t="str">
        <f t="shared" si="0"/>
        <v/>
      </c>
    </row>
    <row r="27" spans="1:7" ht="14.45" x14ac:dyDescent="0.3">
      <c r="A27"/>
      <c r="B27" s="5"/>
      <c r="C27" s="5"/>
      <c r="D27" s="5"/>
      <c r="E27" s="5"/>
      <c r="F27" s="5"/>
      <c r="G27" s="5"/>
    </row>
    <row r="28" spans="1:7" ht="42.75" customHeight="1" x14ac:dyDescent="0.25">
      <c r="B28" s="169" t="s">
        <v>63</v>
      </c>
      <c r="C28" s="169"/>
    </row>
    <row r="29" spans="1:7" ht="30.75" customHeight="1" x14ac:dyDescent="0.25">
      <c r="B29" s="169" t="s">
        <v>62</v>
      </c>
      <c r="C29" s="169"/>
    </row>
    <row r="30" spans="1:7" x14ac:dyDescent="0.25">
      <c r="B30" s="169"/>
      <c r="C30" s="169"/>
    </row>
  </sheetData>
  <mergeCells count="23">
    <mergeCell ref="B8:C8"/>
    <mergeCell ref="E1:G1"/>
    <mergeCell ref="E4:F4"/>
    <mergeCell ref="B6:C6"/>
    <mergeCell ref="E6:F6"/>
    <mergeCell ref="B7:C7"/>
    <mergeCell ref="C23:D23"/>
    <mergeCell ref="B9:C9"/>
    <mergeCell ref="B10:C10"/>
    <mergeCell ref="B11:C11"/>
    <mergeCell ref="C15:D15"/>
    <mergeCell ref="C16:D16"/>
    <mergeCell ref="C17:D17"/>
    <mergeCell ref="C18:D18"/>
    <mergeCell ref="C19:D19"/>
    <mergeCell ref="C20:D20"/>
    <mergeCell ref="C21:D21"/>
    <mergeCell ref="C22:D22"/>
    <mergeCell ref="C24:D24"/>
    <mergeCell ref="C25:D25"/>
    <mergeCell ref="C26:D26"/>
    <mergeCell ref="B28:C28"/>
    <mergeCell ref="B29:C30"/>
  </mergeCells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U61"/>
  <sheetViews>
    <sheetView workbookViewId="0">
      <selection activeCell="I3" sqref="I3"/>
    </sheetView>
  </sheetViews>
  <sheetFormatPr defaultColWidth="9.140625" defaultRowHeight="15" x14ac:dyDescent="0.25"/>
  <cols>
    <col min="1" max="1" width="3.42578125" customWidth="1"/>
    <col min="2" max="2" width="6" style="24" customWidth="1"/>
    <col min="3" max="3" width="14.5703125" style="25" customWidth="1"/>
    <col min="4" max="4" width="15.28515625" style="24" customWidth="1"/>
    <col min="5" max="5" width="11.7109375" style="26" customWidth="1"/>
    <col min="6" max="6" width="12.5703125" style="26" customWidth="1"/>
    <col min="7" max="7" width="13.85546875" style="26" hidden="1" customWidth="1"/>
    <col min="8" max="8" width="10.140625" style="24" customWidth="1"/>
    <col min="9" max="9" width="9.7109375" style="24" customWidth="1"/>
    <col min="10" max="10" width="7.5703125" style="24" customWidth="1"/>
    <col min="11" max="11" width="8.85546875" customWidth="1"/>
    <col min="12" max="12" width="16.42578125" customWidth="1"/>
    <col min="13" max="13" width="16.140625" customWidth="1"/>
    <col min="14" max="14" width="15.7109375" customWidth="1"/>
    <col min="15" max="15" width="15.42578125" customWidth="1"/>
    <col min="16" max="16" width="16.85546875" customWidth="1"/>
    <col min="17" max="17" width="10.42578125" customWidth="1"/>
    <col min="18" max="18" width="16.85546875" customWidth="1"/>
    <col min="19" max="19" width="16.28515625" customWidth="1"/>
    <col min="20" max="20" width="16" customWidth="1"/>
    <col min="21" max="21" width="17.85546875" customWidth="1"/>
  </cols>
  <sheetData>
    <row r="2" spans="2:21" ht="23.25" x14ac:dyDescent="0.25">
      <c r="C2" s="188" t="s">
        <v>55</v>
      </c>
      <c r="D2" s="188"/>
      <c r="E2" s="188"/>
      <c r="F2" s="188"/>
      <c r="G2" s="38"/>
      <c r="I2" s="35">
        <v>2025</v>
      </c>
      <c r="J2" s="189" t="s">
        <v>56</v>
      </c>
      <c r="K2" s="189"/>
      <c r="L2" s="189"/>
      <c r="M2" s="189"/>
      <c r="N2" s="189"/>
      <c r="O2" s="189"/>
      <c r="Q2" s="189" t="s">
        <v>65</v>
      </c>
      <c r="R2" s="189"/>
      <c r="S2" s="189"/>
      <c r="T2" s="189"/>
      <c r="U2" s="189"/>
    </row>
    <row r="3" spans="2:21" ht="12" customHeight="1" x14ac:dyDescent="0.3">
      <c r="C3" s="38"/>
      <c r="D3" s="38"/>
      <c r="E3" s="38"/>
      <c r="F3" s="38"/>
      <c r="G3" s="38"/>
      <c r="I3" s="59"/>
      <c r="J3" s="59"/>
      <c r="K3" s="59"/>
      <c r="L3" s="59"/>
      <c r="M3" s="59"/>
      <c r="N3" s="59"/>
      <c r="O3" s="59"/>
      <c r="Q3" s="59"/>
      <c r="R3" s="59"/>
      <c r="S3" s="59"/>
      <c r="T3" s="59"/>
      <c r="U3" s="59"/>
    </row>
    <row r="4" spans="2:21" ht="23.45" x14ac:dyDescent="0.3">
      <c r="C4" s="188" t="s">
        <v>69</v>
      </c>
      <c r="D4" s="188"/>
      <c r="E4" s="188"/>
      <c r="F4" s="38"/>
      <c r="G4" s="38"/>
      <c r="I4" s="59"/>
      <c r="J4" s="59"/>
      <c r="K4" s="59"/>
      <c r="L4" s="59"/>
      <c r="M4" s="59"/>
      <c r="N4" s="59"/>
      <c r="O4" s="59"/>
      <c r="Q4" s="59"/>
      <c r="R4" s="59"/>
      <c r="S4" s="59"/>
      <c r="T4" s="59"/>
      <c r="U4" s="59"/>
    </row>
    <row r="6" spans="2:21" s="30" customFormat="1" ht="58.5" customHeight="1" x14ac:dyDescent="0.25">
      <c r="B6" s="31" t="s">
        <v>47</v>
      </c>
      <c r="C6" s="32" t="s">
        <v>1</v>
      </c>
      <c r="D6" s="31" t="s">
        <v>42</v>
      </c>
      <c r="E6" s="33" t="s">
        <v>43</v>
      </c>
      <c r="F6" s="33" t="s">
        <v>44</v>
      </c>
      <c r="G6" s="33"/>
      <c r="H6" s="31" t="s">
        <v>45</v>
      </c>
      <c r="I6" s="31" t="s">
        <v>46</v>
      </c>
      <c r="J6" s="31" t="s">
        <v>49</v>
      </c>
      <c r="K6" s="31" t="s">
        <v>9</v>
      </c>
      <c r="L6" s="31" t="s">
        <v>48</v>
      </c>
      <c r="M6" s="31" t="s">
        <v>11</v>
      </c>
      <c r="N6" s="31" t="s">
        <v>12</v>
      </c>
      <c r="O6" s="31" t="s">
        <v>13</v>
      </c>
      <c r="Q6" s="31" t="s">
        <v>9</v>
      </c>
      <c r="R6" s="31" t="s">
        <v>48</v>
      </c>
      <c r="S6" s="31" t="s">
        <v>11</v>
      </c>
      <c r="T6" s="31" t="s">
        <v>12</v>
      </c>
      <c r="U6" s="31" t="s">
        <v>13</v>
      </c>
    </row>
    <row r="7" spans="2:21" ht="14.45" x14ac:dyDescent="0.3">
      <c r="B7" s="27">
        <v>1</v>
      </c>
      <c r="C7" s="28">
        <v>1007.2</v>
      </c>
      <c r="D7" s="29">
        <v>3</v>
      </c>
      <c r="E7" s="37">
        <v>45204</v>
      </c>
      <c r="F7" s="37">
        <v>44927</v>
      </c>
      <c r="G7" s="39">
        <f>YEAR(F7)</f>
        <v>2023</v>
      </c>
      <c r="H7" s="27">
        <f>IF(OR(E7="",F7=""),"",(360-(E7-F7)))</f>
        <v>83</v>
      </c>
      <c r="I7" s="27">
        <f>IF(OR(E7="",F7=""),"",360-H7)</f>
        <v>277</v>
      </c>
      <c r="J7" s="27">
        <f>IF(OR(D7="",C7="",H7=""),"",1)</f>
        <v>1</v>
      </c>
      <c r="K7" s="27">
        <f>IF(G7="","",G7)</f>
        <v>2023</v>
      </c>
      <c r="L7" s="34">
        <f>IF(C7="","",C7)</f>
        <v>1007.2</v>
      </c>
      <c r="M7" s="34">
        <f>IF(OR(J7="",H7=""),"",(C$7/D$7)*H7/360)</f>
        <v>77.405185185185189</v>
      </c>
      <c r="N7" s="34">
        <f>M7</f>
        <v>77.405185185185189</v>
      </c>
      <c r="O7" s="34">
        <f t="shared" ref="O7:O12" si="0">IF(J7="","",L7-M7)</f>
        <v>929.7948148148148</v>
      </c>
      <c r="P7" s="25"/>
      <c r="Q7" s="27">
        <v>2022</v>
      </c>
      <c r="R7" s="34">
        <f t="shared" ref="R7:R15" si="1">SUMIF($K$7:$K$61,Q7,$L$7:$L$61)</f>
        <v>0</v>
      </c>
      <c r="S7" s="34">
        <f t="shared" ref="S7:S15" si="2">SUMIF($K$7:$K$61,Q7,$M$7:$M$61)</f>
        <v>0</v>
      </c>
      <c r="T7" s="34">
        <f t="shared" ref="T7:T15" si="3">SUMIF($K$7:$K$61,Q7,$N$7:$N$61)</f>
        <v>0</v>
      </c>
      <c r="U7" s="34">
        <f t="shared" ref="U7:U15" si="4">SUMIF($K$7:$K$61,Q7,$O$7:$O$61)</f>
        <v>0</v>
      </c>
    </row>
    <row r="8" spans="2:21" x14ac:dyDescent="0.25">
      <c r="C8" s="186" t="s">
        <v>70</v>
      </c>
      <c r="D8" s="186"/>
      <c r="E8" s="187" t="s">
        <v>53</v>
      </c>
      <c r="F8" s="187"/>
      <c r="G8" s="40"/>
      <c r="J8" s="27">
        <f t="shared" ref="J8:J12" si="5">IF(J7="","",IF(J7+1&gt;D$7+1,"",J7+1))</f>
        <v>2</v>
      </c>
      <c r="K8" s="27">
        <f>IF(J8="","",K7+1)</f>
        <v>2024</v>
      </c>
      <c r="L8" s="34">
        <f t="shared" ref="L8:L12" si="6">IF(J8="","",L7-M7)</f>
        <v>929.7948148148148</v>
      </c>
      <c r="M8" s="34">
        <f t="shared" ref="M8:M12" si="7">IF(J8="","",IF(J8=D$7+1,(C$7/D$7)*(I$7/360),C$7/D$7))</f>
        <v>335.73333333333335</v>
      </c>
      <c r="N8" s="34">
        <f t="shared" ref="N8:N12" si="8">IF(J8="","",N7+M8)</f>
        <v>413.13851851851854</v>
      </c>
      <c r="O8" s="34">
        <f t="shared" si="0"/>
        <v>594.06148148148145</v>
      </c>
      <c r="P8" s="25"/>
      <c r="Q8" s="27">
        <f>Q7+1</f>
        <v>2023</v>
      </c>
      <c r="R8" s="67">
        <f t="shared" si="1"/>
        <v>4391.6499999999996</v>
      </c>
      <c r="S8" s="34">
        <f t="shared" si="2"/>
        <v>195.97162037037035</v>
      </c>
      <c r="T8" s="34">
        <f t="shared" si="3"/>
        <v>195.97162037037035</v>
      </c>
      <c r="U8" s="34">
        <f t="shared" si="4"/>
        <v>4195.6783796296295</v>
      </c>
    </row>
    <row r="9" spans="2:21" ht="14.45" x14ac:dyDescent="0.3">
      <c r="J9" s="27">
        <f t="shared" si="5"/>
        <v>3</v>
      </c>
      <c r="K9" s="27">
        <f t="shared" ref="K9:K12" si="9">IF(J9="","",K8+1)</f>
        <v>2025</v>
      </c>
      <c r="L9" s="34">
        <f t="shared" si="6"/>
        <v>594.06148148148145</v>
      </c>
      <c r="M9" s="34">
        <f t="shared" si="7"/>
        <v>335.73333333333335</v>
      </c>
      <c r="N9" s="34">
        <f t="shared" si="8"/>
        <v>748.87185185185194</v>
      </c>
      <c r="O9" s="34">
        <f t="shared" si="0"/>
        <v>258.3281481481481</v>
      </c>
      <c r="P9" s="25"/>
      <c r="Q9" s="27">
        <f t="shared" ref="Q9:Q15" si="10">Q8+1</f>
        <v>2024</v>
      </c>
      <c r="R9" s="34">
        <f t="shared" si="1"/>
        <v>7198.9383796296297</v>
      </c>
      <c r="S9" s="34">
        <f t="shared" si="2"/>
        <v>2161.8632037037037</v>
      </c>
      <c r="T9" s="34">
        <f t="shared" si="3"/>
        <v>2357.8348240740743</v>
      </c>
      <c r="U9" s="34">
        <f t="shared" si="4"/>
        <v>5037.0751759259256</v>
      </c>
    </row>
    <row r="10" spans="2:21" ht="14.45" x14ac:dyDescent="0.3">
      <c r="J10" s="27">
        <f t="shared" si="5"/>
        <v>4</v>
      </c>
      <c r="K10" s="27">
        <f t="shared" si="9"/>
        <v>2026</v>
      </c>
      <c r="L10" s="34">
        <f t="shared" si="6"/>
        <v>258.3281481481481</v>
      </c>
      <c r="M10" s="34">
        <f t="shared" si="7"/>
        <v>258.32814814814816</v>
      </c>
      <c r="N10" s="34">
        <f t="shared" si="8"/>
        <v>1007.2</v>
      </c>
      <c r="O10" s="34">
        <f t="shared" si="0"/>
        <v>-5.6843418860808015E-14</v>
      </c>
      <c r="P10" s="25"/>
      <c r="Q10" s="27">
        <f t="shared" si="10"/>
        <v>2025</v>
      </c>
      <c r="R10" s="34">
        <f t="shared" si="1"/>
        <v>5037.0751759259256</v>
      </c>
      <c r="S10" s="34">
        <f t="shared" si="2"/>
        <v>2464.9699999999998</v>
      </c>
      <c r="T10" s="34">
        <f t="shared" si="3"/>
        <v>4822.8048240740736</v>
      </c>
      <c r="U10" s="34">
        <f t="shared" si="4"/>
        <v>2572.1051759259258</v>
      </c>
    </row>
    <row r="11" spans="2:21" x14ac:dyDescent="0.25">
      <c r="J11" s="27" t="str">
        <f t="shared" si="5"/>
        <v/>
      </c>
      <c r="K11" s="27" t="str">
        <f t="shared" si="9"/>
        <v/>
      </c>
      <c r="L11" s="34" t="str">
        <f t="shared" si="6"/>
        <v/>
      </c>
      <c r="M11" s="34" t="str">
        <f t="shared" si="7"/>
        <v/>
      </c>
      <c r="N11" s="34" t="str">
        <f t="shared" si="8"/>
        <v/>
      </c>
      <c r="O11" s="34" t="str">
        <f t="shared" si="0"/>
        <v/>
      </c>
      <c r="P11" s="25"/>
      <c r="Q11" s="27">
        <f t="shared" si="10"/>
        <v>2026</v>
      </c>
      <c r="R11" s="34">
        <f t="shared" si="1"/>
        <v>2572.1051759259258</v>
      </c>
      <c r="S11" s="34">
        <f t="shared" si="2"/>
        <v>2268.9983796296297</v>
      </c>
      <c r="T11" s="34">
        <f t="shared" si="3"/>
        <v>7091.8032037037028</v>
      </c>
      <c r="U11" s="34">
        <f t="shared" si="4"/>
        <v>303.10679629629618</v>
      </c>
    </row>
    <row r="12" spans="2:21" ht="14.45" x14ac:dyDescent="0.3">
      <c r="J12" s="27" t="str">
        <f t="shared" si="5"/>
        <v/>
      </c>
      <c r="K12" s="27" t="str">
        <f t="shared" si="9"/>
        <v/>
      </c>
      <c r="L12" s="34" t="str">
        <f t="shared" si="6"/>
        <v/>
      </c>
      <c r="M12" s="34" t="str">
        <f t="shared" si="7"/>
        <v/>
      </c>
      <c r="N12" s="34" t="str">
        <f t="shared" si="8"/>
        <v/>
      </c>
      <c r="O12" s="34" t="str">
        <f t="shared" si="0"/>
        <v/>
      </c>
      <c r="P12" s="25"/>
      <c r="Q12" s="27">
        <f t="shared" si="10"/>
        <v>2027</v>
      </c>
      <c r="R12" s="34">
        <f t="shared" si="1"/>
        <v>303.10679629629647</v>
      </c>
      <c r="S12" s="34">
        <f t="shared" si="2"/>
        <v>303.1067962962963</v>
      </c>
      <c r="T12" s="34">
        <f t="shared" si="3"/>
        <v>3003.2599999999998</v>
      </c>
      <c r="U12" s="34">
        <f t="shared" si="4"/>
        <v>1.7053025658242404E-13</v>
      </c>
    </row>
    <row r="13" spans="2:21" ht="14.45" x14ac:dyDescent="0.3">
      <c r="Q13" s="27">
        <f t="shared" si="10"/>
        <v>2028</v>
      </c>
      <c r="R13" s="34">
        <f t="shared" si="1"/>
        <v>0</v>
      </c>
      <c r="S13" s="34">
        <f t="shared" si="2"/>
        <v>0</v>
      </c>
      <c r="T13" s="34">
        <f t="shared" si="3"/>
        <v>0</v>
      </c>
      <c r="U13" s="34">
        <f t="shared" si="4"/>
        <v>0</v>
      </c>
    </row>
    <row r="14" spans="2:21" x14ac:dyDescent="0.25">
      <c r="B14" s="27">
        <f>B7+1</f>
        <v>2</v>
      </c>
      <c r="C14" s="28">
        <v>1200.77</v>
      </c>
      <c r="D14" s="29">
        <v>3</v>
      </c>
      <c r="E14" s="37">
        <v>45204</v>
      </c>
      <c r="F14" s="37">
        <v>44927</v>
      </c>
      <c r="G14" s="39">
        <f>YEAR(F14)</f>
        <v>2023</v>
      </c>
      <c r="H14" s="27">
        <f>IF(OR(E14="",F14=""),"",(360-(E14-F14)))</f>
        <v>83</v>
      </c>
      <c r="I14" s="27">
        <f>IF(OR(E14="",F14=""),"",360-H14)</f>
        <v>277</v>
      </c>
      <c r="J14" s="27">
        <f>IF(OR(D14="",C14="",H14=""),"",1)</f>
        <v>1</v>
      </c>
      <c r="K14" s="27">
        <f>IF(G14="","",G14)</f>
        <v>2023</v>
      </c>
      <c r="L14" s="34">
        <f>IF(C14="","",C14)</f>
        <v>1200.77</v>
      </c>
      <c r="M14" s="34">
        <f>IF(OR(J14="",H14=""),"",(C$14/D$14)*H14/360)</f>
        <v>92.281398148148142</v>
      </c>
      <c r="N14" s="34">
        <f>M14</f>
        <v>92.281398148148142</v>
      </c>
      <c r="O14" s="34">
        <f t="shared" ref="O14:O19" si="11">IF(J14="","",L14-M14)</f>
        <v>1108.4886018518519</v>
      </c>
      <c r="P14" s="25"/>
      <c r="Q14" s="27">
        <f t="shared" si="10"/>
        <v>2029</v>
      </c>
      <c r="R14" s="34">
        <f t="shared" si="1"/>
        <v>0</v>
      </c>
      <c r="S14" s="34">
        <f t="shared" si="2"/>
        <v>0</v>
      </c>
      <c r="T14" s="34">
        <f t="shared" si="3"/>
        <v>0</v>
      </c>
      <c r="U14" s="34">
        <f t="shared" si="4"/>
        <v>0</v>
      </c>
    </row>
    <row r="15" spans="2:21" ht="14.45" customHeight="1" x14ac:dyDescent="0.25">
      <c r="C15" s="186" t="s">
        <v>70</v>
      </c>
      <c r="D15" s="186"/>
      <c r="E15" s="187" t="s">
        <v>53</v>
      </c>
      <c r="F15" s="187"/>
      <c r="G15" s="40"/>
      <c r="J15" s="27">
        <f t="shared" ref="J15:J19" si="12">IF(J14="","",IF(J14+1&gt;D$14+1,"",J14+1))</f>
        <v>2</v>
      </c>
      <c r="K15" s="27">
        <f>IF(J15="","",K14+1)</f>
        <v>2024</v>
      </c>
      <c r="L15" s="34">
        <f t="shared" ref="L15:L19" si="13">IF(J15="","",L14-M14)</f>
        <v>1108.4886018518519</v>
      </c>
      <c r="M15" s="34">
        <f>IF(J15="","",IF(J15=D$14+1,(C$14/D$14)*(I$14/360),C$14/D$14))</f>
        <v>400.25666666666666</v>
      </c>
      <c r="N15" s="34">
        <f t="shared" ref="N15:N19" si="14">IF(J15="","",N14+M15)</f>
        <v>492.53806481481479</v>
      </c>
      <c r="O15" s="34">
        <f t="shared" si="11"/>
        <v>708.23193518518519</v>
      </c>
      <c r="P15" s="25"/>
      <c r="Q15" s="27">
        <f t="shared" si="10"/>
        <v>2030</v>
      </c>
      <c r="R15" s="34">
        <f t="shared" si="1"/>
        <v>0</v>
      </c>
      <c r="S15" s="34">
        <f t="shared" si="2"/>
        <v>0</v>
      </c>
      <c r="T15" s="34">
        <f t="shared" si="3"/>
        <v>0</v>
      </c>
      <c r="U15" s="34">
        <f t="shared" si="4"/>
        <v>0</v>
      </c>
    </row>
    <row r="16" spans="2:21" x14ac:dyDescent="0.25">
      <c r="J16" s="27">
        <f t="shared" si="12"/>
        <v>3</v>
      </c>
      <c r="K16" s="27">
        <f t="shared" ref="K16:K19" si="15">IF(J16="","",K15+1)</f>
        <v>2025</v>
      </c>
      <c r="L16" s="34">
        <f t="shared" si="13"/>
        <v>708.23193518518519</v>
      </c>
      <c r="M16" s="34">
        <f t="shared" ref="M16:M19" si="16">IF(J16="","",IF(J16=D$14+1,(C$14/D$14)*(I$14/360),C$14/D$14))</f>
        <v>400.25666666666666</v>
      </c>
      <c r="N16" s="34">
        <f t="shared" si="14"/>
        <v>892.79473148148145</v>
      </c>
      <c r="O16" s="34">
        <f t="shared" si="11"/>
        <v>307.97526851851853</v>
      </c>
      <c r="P16" s="25"/>
    </row>
    <row r="17" spans="2:16" ht="14.45" x14ac:dyDescent="0.3">
      <c r="J17" s="27">
        <f t="shared" si="12"/>
        <v>4</v>
      </c>
      <c r="K17" s="27">
        <f t="shared" si="15"/>
        <v>2026</v>
      </c>
      <c r="L17" s="34">
        <f t="shared" si="13"/>
        <v>307.97526851851853</v>
      </c>
      <c r="M17" s="34">
        <f t="shared" si="16"/>
        <v>307.97526851851853</v>
      </c>
      <c r="N17" s="34">
        <f t="shared" si="14"/>
        <v>1200.77</v>
      </c>
      <c r="O17" s="34">
        <f t="shared" si="11"/>
        <v>0</v>
      </c>
      <c r="P17" s="25"/>
    </row>
    <row r="18" spans="2:16" ht="14.45" x14ac:dyDescent="0.3">
      <c r="J18" s="27" t="str">
        <f t="shared" si="12"/>
        <v/>
      </c>
      <c r="K18" s="27" t="str">
        <f t="shared" si="15"/>
        <v/>
      </c>
      <c r="L18" s="34" t="str">
        <f t="shared" si="13"/>
        <v/>
      </c>
      <c r="M18" s="34" t="str">
        <f t="shared" si="16"/>
        <v/>
      </c>
      <c r="N18" s="34" t="str">
        <f t="shared" si="14"/>
        <v/>
      </c>
      <c r="O18" s="34" t="str">
        <f t="shared" si="11"/>
        <v/>
      </c>
      <c r="P18" s="25"/>
    </row>
    <row r="19" spans="2:16" ht="14.45" x14ac:dyDescent="0.3">
      <c r="J19" s="27" t="str">
        <f t="shared" si="12"/>
        <v/>
      </c>
      <c r="K19" s="27" t="str">
        <f t="shared" si="15"/>
        <v/>
      </c>
      <c r="L19" s="34" t="str">
        <f t="shared" si="13"/>
        <v/>
      </c>
      <c r="M19" s="34" t="str">
        <f t="shared" si="16"/>
        <v/>
      </c>
      <c r="N19" s="34" t="str">
        <f t="shared" si="14"/>
        <v/>
      </c>
      <c r="O19" s="34" t="str">
        <f t="shared" si="11"/>
        <v/>
      </c>
      <c r="P19" s="25"/>
    </row>
    <row r="21" spans="2:16" ht="14.45" x14ac:dyDescent="0.3">
      <c r="B21" s="27">
        <f>B14+1</f>
        <v>3</v>
      </c>
      <c r="C21" s="28">
        <v>2183.6799999999998</v>
      </c>
      <c r="D21" s="29">
        <v>3</v>
      </c>
      <c r="E21" s="37">
        <v>45274</v>
      </c>
      <c r="F21" s="37">
        <v>44927</v>
      </c>
      <c r="G21" s="39">
        <f>YEAR(F21)</f>
        <v>2023</v>
      </c>
      <c r="H21" s="27">
        <f>IF(OR(E21="",F21=""),"",(360-(E21-F21)))</f>
        <v>13</v>
      </c>
      <c r="I21" s="27">
        <f>IF(OR(E21="",F21=""),"",360-H21)</f>
        <v>347</v>
      </c>
      <c r="J21" s="27">
        <f>IF(OR(D21="",C21="",H21=""),"",1)</f>
        <v>1</v>
      </c>
      <c r="K21" s="27">
        <f>IF(G21="","",G21)</f>
        <v>2023</v>
      </c>
      <c r="L21" s="34">
        <f>IF(C21="","",C21)</f>
        <v>2183.6799999999998</v>
      </c>
      <c r="M21" s="34">
        <f>IF(OR(J21="",H21=""),"",(C$21/D$21)*H21/360)</f>
        <v>26.285037037037036</v>
      </c>
      <c r="N21" s="34">
        <f>M21</f>
        <v>26.285037037037036</v>
      </c>
      <c r="O21" s="34">
        <f t="shared" ref="O21:O26" si="17">IF(J21="","",L21-M21)</f>
        <v>2157.3949629629628</v>
      </c>
      <c r="P21" s="25"/>
    </row>
    <row r="22" spans="2:16" x14ac:dyDescent="0.25">
      <c r="C22" s="186"/>
      <c r="D22" s="186"/>
      <c r="E22" s="187"/>
      <c r="F22" s="187"/>
      <c r="G22" s="40"/>
      <c r="J22" s="27">
        <f t="shared" ref="J22:J26" si="18">IF(J21="","",IF(J21+1&gt;D$21+1,"",J21+1))</f>
        <v>2</v>
      </c>
      <c r="K22" s="27">
        <f>IF(J22="","",K21+1)</f>
        <v>2024</v>
      </c>
      <c r="L22" s="34">
        <f t="shared" ref="L22:L26" si="19">IF(J22="","",L21-M21)</f>
        <v>2157.3949629629628</v>
      </c>
      <c r="M22" s="34">
        <f>IF(J22="","",IF(J22=D$21+1,(C$21/D$21)*(I$21/360),C$21/D$21))</f>
        <v>727.89333333333332</v>
      </c>
      <c r="N22" s="34">
        <f t="shared" ref="N22:N26" si="20">IF(J22="","",N21+M22)</f>
        <v>754.17837037037032</v>
      </c>
      <c r="O22" s="34">
        <f t="shared" si="17"/>
        <v>1429.5016296296294</v>
      </c>
      <c r="P22" s="25"/>
    </row>
    <row r="23" spans="2:16" x14ac:dyDescent="0.25">
      <c r="J23" s="27">
        <f t="shared" si="18"/>
        <v>3</v>
      </c>
      <c r="K23" s="27">
        <f t="shared" ref="K23:K26" si="21">IF(J23="","",K22+1)</f>
        <v>2025</v>
      </c>
      <c r="L23" s="34">
        <f t="shared" si="19"/>
        <v>1429.5016296296294</v>
      </c>
      <c r="M23" s="34">
        <f>IF(J23="","",IF(J23=D$21+1,(C$21/D$21)*(I$21/360),C$21/D$21))</f>
        <v>727.89333333333332</v>
      </c>
      <c r="N23" s="34">
        <f t="shared" si="20"/>
        <v>1482.0717037037036</v>
      </c>
      <c r="O23" s="34">
        <f t="shared" si="17"/>
        <v>701.60829629629609</v>
      </c>
      <c r="P23" s="25"/>
    </row>
    <row r="24" spans="2:16" x14ac:dyDescent="0.25">
      <c r="J24" s="27">
        <f t="shared" si="18"/>
        <v>4</v>
      </c>
      <c r="K24" s="27">
        <f t="shared" si="21"/>
        <v>2026</v>
      </c>
      <c r="L24" s="34">
        <f t="shared" si="19"/>
        <v>701.60829629629609</v>
      </c>
      <c r="M24" s="34">
        <f>IF(J24="","",IF(J24=D$21+1,(C$21/D$21)*(I$21/360),C$21/D$21))</f>
        <v>701.60829629629632</v>
      </c>
      <c r="N24" s="34">
        <f t="shared" si="20"/>
        <v>2183.6799999999998</v>
      </c>
      <c r="O24" s="34">
        <f t="shared" si="17"/>
        <v>-2.2737367544323206E-13</v>
      </c>
      <c r="P24" s="25"/>
    </row>
    <row r="25" spans="2:16" x14ac:dyDescent="0.25">
      <c r="J25" s="27" t="str">
        <f t="shared" si="18"/>
        <v/>
      </c>
      <c r="K25" s="27" t="str">
        <f t="shared" si="21"/>
        <v/>
      </c>
      <c r="L25" s="34" t="str">
        <f t="shared" si="19"/>
        <v/>
      </c>
      <c r="M25" s="34" t="str">
        <f>IF(J25="","",IF(J25=D$21+1,(C$21/D$21)*(I$21/360),C$21/D$21))</f>
        <v/>
      </c>
      <c r="N25" s="34" t="str">
        <f t="shared" si="20"/>
        <v/>
      </c>
      <c r="O25" s="34" t="str">
        <f t="shared" si="17"/>
        <v/>
      </c>
      <c r="P25" s="25"/>
    </row>
    <row r="26" spans="2:16" x14ac:dyDescent="0.25">
      <c r="J26" s="27" t="str">
        <f t="shared" si="18"/>
        <v/>
      </c>
      <c r="K26" s="27" t="str">
        <f t="shared" si="21"/>
        <v/>
      </c>
      <c r="L26" s="34" t="str">
        <f t="shared" si="19"/>
        <v/>
      </c>
      <c r="M26" s="34" t="str">
        <f>IF(J26="","",IF(J26=D$21+1,(C$21/D$21)*(I$21/360),C$21/D$21))</f>
        <v/>
      </c>
      <c r="N26" s="34" t="str">
        <f t="shared" si="20"/>
        <v/>
      </c>
      <c r="O26" s="34" t="str">
        <f t="shared" si="17"/>
        <v/>
      </c>
      <c r="P26" s="25"/>
    </row>
    <row r="28" spans="2:16" x14ac:dyDescent="0.25">
      <c r="B28" s="27">
        <f>B21+1</f>
        <v>4</v>
      </c>
      <c r="C28" s="28">
        <v>3003.26</v>
      </c>
      <c r="D28" s="29">
        <v>3</v>
      </c>
      <c r="E28" s="37">
        <v>45401</v>
      </c>
      <c r="F28" s="37">
        <v>45292</v>
      </c>
      <c r="G28" s="39">
        <f>YEAR(F28)</f>
        <v>2024</v>
      </c>
      <c r="H28" s="27">
        <f>IF(OR(E28="",F28=""),"",(360-(E28-F28)))</f>
        <v>251</v>
      </c>
      <c r="I28" s="27">
        <f>IF(OR(E28="",F28=""),"",360-H28)</f>
        <v>109</v>
      </c>
      <c r="J28" s="27">
        <f>IF(OR(D28="",C28="",H28=""),"",1)</f>
        <v>1</v>
      </c>
      <c r="K28" s="27">
        <f>IF(G28="","",G28)</f>
        <v>2024</v>
      </c>
      <c r="L28" s="34">
        <f>IF(C28="","",C28)</f>
        <v>3003.26</v>
      </c>
      <c r="M28" s="34">
        <f>IF(OR(J28="",H28=""),"",(C$28/D$28)*H28/360)</f>
        <v>697.97987037037046</v>
      </c>
      <c r="N28" s="34">
        <f>M28</f>
        <v>697.97987037037046</v>
      </c>
      <c r="O28" s="34">
        <f t="shared" ref="O28:O33" si="22">IF(J28="","",L28-M28)</f>
        <v>2305.2801296296298</v>
      </c>
      <c r="P28" s="25"/>
    </row>
    <row r="29" spans="2:16" x14ac:dyDescent="0.25">
      <c r="C29" s="186"/>
      <c r="D29" s="186"/>
      <c r="E29" s="187"/>
      <c r="F29" s="187"/>
      <c r="G29" s="40"/>
      <c r="J29" s="27">
        <f>IF(J28="","",IF(J28+1&gt;D$28+1,"",J28+1))</f>
        <v>2</v>
      </c>
      <c r="K29" s="27">
        <f>IF(J29="","",K28+1)</f>
        <v>2025</v>
      </c>
      <c r="L29" s="34">
        <f t="shared" ref="L29:L33" si="23">IF(J29="","",L28-M28)</f>
        <v>2305.2801296296298</v>
      </c>
      <c r="M29" s="34">
        <f>IF(J29="","",IF(J29=D$28+1,(C$28/D$28)*(I$28/360),C$28/D$28))</f>
        <v>1001.0866666666667</v>
      </c>
      <c r="N29" s="34">
        <f t="shared" ref="N29:N33" si="24">IF(J29="","",N28+M29)</f>
        <v>1699.0665370370371</v>
      </c>
      <c r="O29" s="34">
        <f t="shared" si="22"/>
        <v>1304.1934629629632</v>
      </c>
      <c r="P29" s="25"/>
    </row>
    <row r="30" spans="2:16" ht="14.45" x14ac:dyDescent="0.3">
      <c r="J30" s="27">
        <f t="shared" ref="J30:J33" si="25">IF(J29="","",IF(J29+1&gt;D$28+1,"",J29+1))</f>
        <v>3</v>
      </c>
      <c r="K30" s="27">
        <f t="shared" ref="K30:K33" si="26">IF(J30="","",K29+1)</f>
        <v>2026</v>
      </c>
      <c r="L30" s="34">
        <f t="shared" si="23"/>
        <v>1304.1934629629632</v>
      </c>
      <c r="M30" s="34">
        <f>IF(J30="","",IF(J30=D$28+1,(C$28/D$28)*(I$28/360),C$28/D$28))</f>
        <v>1001.0866666666667</v>
      </c>
      <c r="N30" s="34">
        <f t="shared" si="24"/>
        <v>2700.1532037037036</v>
      </c>
      <c r="O30" s="34">
        <f t="shared" si="22"/>
        <v>303.10679629629647</v>
      </c>
      <c r="P30" s="25"/>
    </row>
    <row r="31" spans="2:16" ht="14.45" x14ac:dyDescent="0.3">
      <c r="J31" s="27">
        <f t="shared" si="25"/>
        <v>4</v>
      </c>
      <c r="K31" s="27">
        <f t="shared" si="26"/>
        <v>2027</v>
      </c>
      <c r="L31" s="34">
        <f t="shared" si="23"/>
        <v>303.10679629629647</v>
      </c>
      <c r="M31" s="34">
        <f>IF(J31="","",IF(J31=D$28+1,(C$28/D$28)*(I$28/360),C$28/D$28))</f>
        <v>303.1067962962963</v>
      </c>
      <c r="N31" s="34">
        <f t="shared" si="24"/>
        <v>3003.2599999999998</v>
      </c>
      <c r="O31" s="34">
        <f t="shared" si="22"/>
        <v>1.7053025658242404E-13</v>
      </c>
      <c r="P31" s="25"/>
    </row>
    <row r="32" spans="2:16" ht="14.45" x14ac:dyDescent="0.3">
      <c r="J32" s="27" t="str">
        <f t="shared" si="25"/>
        <v/>
      </c>
      <c r="K32" s="27" t="str">
        <f t="shared" si="26"/>
        <v/>
      </c>
      <c r="L32" s="34" t="str">
        <f t="shared" si="23"/>
        <v/>
      </c>
      <c r="M32" s="34" t="str">
        <f>IF(J32="","",IF(J32=D$28+1,(C$28/D$28)*(I$28/360),C$28/D$28))</f>
        <v/>
      </c>
      <c r="N32" s="34" t="str">
        <f t="shared" si="24"/>
        <v/>
      </c>
      <c r="O32" s="34" t="str">
        <f t="shared" si="22"/>
        <v/>
      </c>
      <c r="P32" s="25"/>
    </row>
    <row r="33" spans="2:16" x14ac:dyDescent="0.25">
      <c r="J33" s="27" t="str">
        <f t="shared" si="25"/>
        <v/>
      </c>
      <c r="K33" s="27" t="str">
        <f t="shared" si="26"/>
        <v/>
      </c>
      <c r="L33" s="34" t="str">
        <f t="shared" si="23"/>
        <v/>
      </c>
      <c r="M33" s="34" t="str">
        <f>IF(J33="","",IF(J33=D$28+1,(C$28/D$28)*(I$28/360),C$28/D$28))</f>
        <v/>
      </c>
      <c r="N33" s="34" t="str">
        <f t="shared" si="24"/>
        <v/>
      </c>
      <c r="O33" s="34" t="str">
        <f t="shared" si="22"/>
        <v/>
      </c>
      <c r="P33" s="25"/>
    </row>
    <row r="35" spans="2:16" x14ac:dyDescent="0.25">
      <c r="B35" s="27">
        <f>B28+1</f>
        <v>5</v>
      </c>
      <c r="C35" s="28"/>
      <c r="D35" s="29"/>
      <c r="E35" s="37"/>
      <c r="F35" s="37"/>
      <c r="G35" s="39">
        <f>YEAR(F35)</f>
        <v>1900</v>
      </c>
      <c r="H35" s="27" t="str">
        <f>IF(OR(E35="",F35=""),"",(360-(E35-F35)))</f>
        <v/>
      </c>
      <c r="I35" s="27" t="str">
        <f>IF(OR(E35="",F35=""),"",360-H35)</f>
        <v/>
      </c>
      <c r="J35" s="27" t="str">
        <f>IF(OR(D35="",C35="",H35=""),"",1)</f>
        <v/>
      </c>
      <c r="K35" s="27">
        <f>IF(G35="","",G35)</f>
        <v>1900</v>
      </c>
      <c r="L35" s="34" t="str">
        <f>IF(C35="","",C35)</f>
        <v/>
      </c>
      <c r="M35" s="34" t="str">
        <f>IF(OR(J35="",H35=""),"",(C$35/D$35)*H35/360)</f>
        <v/>
      </c>
      <c r="N35" s="34" t="str">
        <f>M35</f>
        <v/>
      </c>
      <c r="O35" s="34" t="str">
        <f t="shared" ref="O35:O40" si="27">IF(J35="","",L35-M35)</f>
        <v/>
      </c>
      <c r="P35" s="25"/>
    </row>
    <row r="36" spans="2:16" x14ac:dyDescent="0.25">
      <c r="C36" s="186"/>
      <c r="D36" s="186"/>
      <c r="E36" s="187"/>
      <c r="F36" s="187"/>
      <c r="G36" s="40"/>
      <c r="J36" s="27" t="str">
        <f>IF(J35="","",IF(J35+1&gt;D$35+1,"",J35+1))</f>
        <v/>
      </c>
      <c r="K36" s="27" t="str">
        <f>IF(J36="","",K35+1)</f>
        <v/>
      </c>
      <c r="L36" s="34" t="str">
        <f t="shared" ref="L36:L40" si="28">IF(J36="","",L35-M35)</f>
        <v/>
      </c>
      <c r="M36" s="34" t="str">
        <f>IF(J36="","",IF(J36=D$35+1,(C$35/D$35)*(I$35/360),C$35/D$7))</f>
        <v/>
      </c>
      <c r="N36" s="34" t="str">
        <f t="shared" ref="N36:N40" si="29">IF(J36="","",N35+M36)</f>
        <v/>
      </c>
      <c r="O36" s="34" t="str">
        <f t="shared" si="27"/>
        <v/>
      </c>
      <c r="P36" s="25"/>
    </row>
    <row r="37" spans="2:16" x14ac:dyDescent="0.25">
      <c r="J37" s="27" t="str">
        <f t="shared" ref="J37:J40" si="30">IF(J36="","",IF(J36+1&gt;D$35+1,"",J36+1))</f>
        <v/>
      </c>
      <c r="K37" s="27" t="str">
        <f t="shared" ref="K37:K40" si="31">IF(J37="","",K36+1)</f>
        <v/>
      </c>
      <c r="L37" s="34" t="str">
        <f t="shared" si="28"/>
        <v/>
      </c>
      <c r="M37" s="34" t="str">
        <f>IF(J37="","",IF(J37=D$35+1,(C$35/D$35)*(I$35/360),C$35/D$7))</f>
        <v/>
      </c>
      <c r="N37" s="34" t="str">
        <f t="shared" si="29"/>
        <v/>
      </c>
      <c r="O37" s="34" t="str">
        <f t="shared" si="27"/>
        <v/>
      </c>
      <c r="P37" s="25"/>
    </row>
    <row r="38" spans="2:16" x14ac:dyDescent="0.25">
      <c r="J38" s="27" t="str">
        <f t="shared" si="30"/>
        <v/>
      </c>
      <c r="K38" s="27" t="str">
        <f t="shared" si="31"/>
        <v/>
      </c>
      <c r="L38" s="34" t="str">
        <f t="shared" si="28"/>
        <v/>
      </c>
      <c r="M38" s="34" t="str">
        <f>IF(J38="","",IF(J38=D$35+1,(C$35/D$35)*(I$35/360),C$35/D$7))</f>
        <v/>
      </c>
      <c r="N38" s="34" t="str">
        <f t="shared" si="29"/>
        <v/>
      </c>
      <c r="O38" s="34" t="str">
        <f t="shared" si="27"/>
        <v/>
      </c>
      <c r="P38" s="25"/>
    </row>
    <row r="39" spans="2:16" x14ac:dyDescent="0.25">
      <c r="J39" s="27" t="str">
        <f t="shared" si="30"/>
        <v/>
      </c>
      <c r="K39" s="27" t="str">
        <f t="shared" si="31"/>
        <v/>
      </c>
      <c r="L39" s="34" t="str">
        <f t="shared" si="28"/>
        <v/>
      </c>
      <c r="M39" s="34" t="str">
        <f>IF(J39="","",IF(J39=D$35+1,(C$35/D$35)*(I$35/360),C$35/D$7))</f>
        <v/>
      </c>
      <c r="N39" s="34" t="str">
        <f t="shared" si="29"/>
        <v/>
      </c>
      <c r="O39" s="34" t="str">
        <f t="shared" si="27"/>
        <v/>
      </c>
      <c r="P39" s="25"/>
    </row>
    <row r="40" spans="2:16" x14ac:dyDescent="0.25">
      <c r="J40" s="27" t="str">
        <f t="shared" si="30"/>
        <v/>
      </c>
      <c r="K40" s="27" t="str">
        <f t="shared" si="31"/>
        <v/>
      </c>
      <c r="L40" s="34" t="str">
        <f t="shared" si="28"/>
        <v/>
      </c>
      <c r="M40" s="34" t="str">
        <f>IF(J40="","",IF(J40=D$35+1,(C$35/D$35)*(I$35/360),C$35/D$7))</f>
        <v/>
      </c>
      <c r="N40" s="34" t="str">
        <f t="shared" si="29"/>
        <v/>
      </c>
      <c r="O40" s="34" t="str">
        <f t="shared" si="27"/>
        <v/>
      </c>
      <c r="P40" s="25"/>
    </row>
    <row r="42" spans="2:16" x14ac:dyDescent="0.25">
      <c r="B42" s="27">
        <f>B35+1</f>
        <v>6</v>
      </c>
      <c r="C42" s="28"/>
      <c r="D42" s="29"/>
      <c r="E42" s="37"/>
      <c r="F42" s="37"/>
      <c r="G42" s="39">
        <f>YEAR(F42)</f>
        <v>1900</v>
      </c>
      <c r="H42" s="27" t="str">
        <f>IF(OR(E42="",F42=""),"",(360-(E42-F42)))</f>
        <v/>
      </c>
      <c r="I42" s="27" t="str">
        <f>IF(OR(E42="",F42=""),"",360-H42)</f>
        <v/>
      </c>
      <c r="J42" s="27" t="str">
        <f>IF(OR(D42="",C42="",H42=""),"",1)</f>
        <v/>
      </c>
      <c r="K42" s="27">
        <f>IF(G42="","",G42)</f>
        <v>1900</v>
      </c>
      <c r="L42" s="34" t="str">
        <f>IF(C42="","",C42)</f>
        <v/>
      </c>
      <c r="M42" s="34" t="str">
        <f>IF(OR(J42="",H42=""),"",(C$42/D$42)*H42/360)</f>
        <v/>
      </c>
      <c r="N42" s="34" t="str">
        <f>M42</f>
        <v/>
      </c>
      <c r="O42" s="34" t="str">
        <f t="shared" ref="O42:O47" si="32">IF(J42="","",L42-M42)</f>
        <v/>
      </c>
      <c r="P42" s="25"/>
    </row>
    <row r="43" spans="2:16" x14ac:dyDescent="0.25">
      <c r="C43" s="186"/>
      <c r="D43" s="186"/>
      <c r="E43" s="187"/>
      <c r="F43" s="187"/>
      <c r="G43" s="40"/>
      <c r="J43" s="27" t="str">
        <f>IF(J42="","",IF(J42+1&gt;D$42+1,"",J42+1))</f>
        <v/>
      </c>
      <c r="K43" s="27" t="str">
        <f>IF(J43="","",K42+1)</f>
        <v/>
      </c>
      <c r="L43" s="34" t="str">
        <f t="shared" ref="L43:L47" si="33">IF(J43="","",L42-M42)</f>
        <v/>
      </c>
      <c r="M43" s="34" t="str">
        <f>IF(J43="","",IF(J43=D$42+1,(C$42/D$42)*(I$42/360),C$42/D$42))</f>
        <v/>
      </c>
      <c r="N43" s="34" t="str">
        <f t="shared" ref="N43:N47" si="34">IF(J43="","",N42+M43)</f>
        <v/>
      </c>
      <c r="O43" s="34" t="str">
        <f t="shared" si="32"/>
        <v/>
      </c>
      <c r="P43" s="25"/>
    </row>
    <row r="44" spans="2:16" x14ac:dyDescent="0.25">
      <c r="J44" s="27" t="str">
        <f t="shared" ref="J44:J47" si="35">IF(J43="","",IF(J43+1&gt;D$42+1,"",J43+1))</f>
        <v/>
      </c>
      <c r="K44" s="27" t="str">
        <f t="shared" ref="K44:K47" si="36">IF(J44="","",K43+1)</f>
        <v/>
      </c>
      <c r="L44" s="34" t="str">
        <f t="shared" si="33"/>
        <v/>
      </c>
      <c r="M44" s="34" t="str">
        <f>IF(J44="","",IF(J44=D$42+1,(C$42/D$42)*(I$42/360),C$42/D$42))</f>
        <v/>
      </c>
      <c r="N44" s="34" t="str">
        <f t="shared" si="34"/>
        <v/>
      </c>
      <c r="O44" s="34" t="str">
        <f t="shared" si="32"/>
        <v/>
      </c>
      <c r="P44" s="25"/>
    </row>
    <row r="45" spans="2:16" x14ac:dyDescent="0.25">
      <c r="J45" s="27" t="str">
        <f t="shared" si="35"/>
        <v/>
      </c>
      <c r="K45" s="27" t="str">
        <f t="shared" si="36"/>
        <v/>
      </c>
      <c r="L45" s="34" t="str">
        <f t="shared" si="33"/>
        <v/>
      </c>
      <c r="M45" s="34" t="str">
        <f>IF(J45="","",IF(J45=D$42+1,(C$42/D$42)*(I$42/360),C$42/D$42))</f>
        <v/>
      </c>
      <c r="N45" s="34" t="str">
        <f t="shared" si="34"/>
        <v/>
      </c>
      <c r="O45" s="34" t="str">
        <f t="shared" si="32"/>
        <v/>
      </c>
      <c r="P45" s="25"/>
    </row>
    <row r="46" spans="2:16" x14ac:dyDescent="0.25">
      <c r="J46" s="27" t="str">
        <f t="shared" si="35"/>
        <v/>
      </c>
      <c r="K46" s="27" t="str">
        <f t="shared" si="36"/>
        <v/>
      </c>
      <c r="L46" s="34" t="str">
        <f t="shared" si="33"/>
        <v/>
      </c>
      <c r="M46" s="34" t="str">
        <f>IF(J46="","",IF(J46=D$42+1,(C$42/D$42)*(I$42/360),C$42/D$42))</f>
        <v/>
      </c>
      <c r="N46" s="34" t="str">
        <f t="shared" si="34"/>
        <v/>
      </c>
      <c r="O46" s="34" t="str">
        <f t="shared" si="32"/>
        <v/>
      </c>
      <c r="P46" s="25"/>
    </row>
    <row r="47" spans="2:16" x14ac:dyDescent="0.25">
      <c r="J47" s="27" t="str">
        <f t="shared" si="35"/>
        <v/>
      </c>
      <c r="K47" s="27" t="str">
        <f t="shared" si="36"/>
        <v/>
      </c>
      <c r="L47" s="34" t="str">
        <f t="shared" si="33"/>
        <v/>
      </c>
      <c r="M47" s="34" t="str">
        <f>IF(J47="","",IF(J47=D$42+1,(C$42/D$42)*(I$42/360),C$42/D$42))</f>
        <v/>
      </c>
      <c r="N47" s="34" t="str">
        <f t="shared" si="34"/>
        <v/>
      </c>
      <c r="O47" s="34" t="str">
        <f t="shared" si="32"/>
        <v/>
      </c>
      <c r="P47" s="25"/>
    </row>
    <row r="49" spans="2:16" x14ac:dyDescent="0.25">
      <c r="B49" s="27">
        <f>B42+1</f>
        <v>7</v>
      </c>
      <c r="C49" s="28"/>
      <c r="D49" s="29"/>
      <c r="E49" s="37"/>
      <c r="F49" s="37"/>
      <c r="G49" s="39">
        <f>YEAR(F49)</f>
        <v>1900</v>
      </c>
      <c r="H49" s="27" t="str">
        <f>IF(OR(E49="",F49=""),"",(360-(E49-F49)))</f>
        <v/>
      </c>
      <c r="I49" s="27" t="str">
        <f>IF(OR(E49="",F49=""),"",360-H49)</f>
        <v/>
      </c>
      <c r="J49" s="27" t="str">
        <f>IF(OR(D49="",C49="",H49=""),"",1)</f>
        <v/>
      </c>
      <c r="K49" s="27">
        <f>IF(G49="","",G49)</f>
        <v>1900</v>
      </c>
      <c r="L49" s="34" t="str">
        <f>IF(C49="","",C49)</f>
        <v/>
      </c>
      <c r="M49" s="34" t="str">
        <f>IF(OR(J49="",H49=""),"",(C$49/D$49)*H49/360)</f>
        <v/>
      </c>
      <c r="N49" s="34" t="str">
        <f>M49</f>
        <v/>
      </c>
      <c r="O49" s="34" t="str">
        <f t="shared" ref="O49:O54" si="37">IF(J49="","",L49-M49)</f>
        <v/>
      </c>
      <c r="P49" s="25"/>
    </row>
    <row r="50" spans="2:16" x14ac:dyDescent="0.25">
      <c r="C50" s="186"/>
      <c r="D50" s="186"/>
      <c r="E50" s="187"/>
      <c r="F50" s="187"/>
      <c r="G50" s="40"/>
      <c r="J50" s="27" t="str">
        <f>IF(J49="","",IF(J49+1&gt;D$49+1,"",J49+1))</f>
        <v/>
      </c>
      <c r="K50" s="27" t="str">
        <f>IF(J50="","",K49+1)</f>
        <v/>
      </c>
      <c r="L50" s="34" t="str">
        <f t="shared" ref="L50:L54" si="38">IF(J50="","",L49-M49)</f>
        <v/>
      </c>
      <c r="M50" s="34" t="str">
        <f>IF(J50="","",IF(J50=D$49+1,(C$49/D$49)*(I$49/360),C$49/D$49))</f>
        <v/>
      </c>
      <c r="N50" s="34" t="str">
        <f t="shared" ref="N50:N54" si="39">IF(J50="","",N49+M50)</f>
        <v/>
      </c>
      <c r="O50" s="34" t="str">
        <f t="shared" si="37"/>
        <v/>
      </c>
      <c r="P50" s="25"/>
    </row>
    <row r="51" spans="2:16" x14ac:dyDescent="0.25">
      <c r="J51" s="27" t="str">
        <f t="shared" ref="J51:J54" si="40">IF(J50="","",IF(J50+1&gt;D$49+1,"",J50+1))</f>
        <v/>
      </c>
      <c r="K51" s="27" t="str">
        <f t="shared" ref="K51:K54" si="41">IF(J51="","",K50+1)</f>
        <v/>
      </c>
      <c r="L51" s="34" t="str">
        <f t="shared" si="38"/>
        <v/>
      </c>
      <c r="M51" s="34" t="str">
        <f>IF(J51="","",IF(J51=D$49+1,(C$49/D$49)*(I$49/360),C$49/D$49))</f>
        <v/>
      </c>
      <c r="N51" s="34" t="str">
        <f t="shared" si="39"/>
        <v/>
      </c>
      <c r="O51" s="34" t="str">
        <f t="shared" si="37"/>
        <v/>
      </c>
      <c r="P51" s="25"/>
    </row>
    <row r="52" spans="2:16" x14ac:dyDescent="0.25">
      <c r="J52" s="27" t="str">
        <f t="shared" si="40"/>
        <v/>
      </c>
      <c r="K52" s="27" t="str">
        <f t="shared" si="41"/>
        <v/>
      </c>
      <c r="L52" s="34" t="str">
        <f t="shared" si="38"/>
        <v/>
      </c>
      <c r="M52" s="34" t="str">
        <f>IF(J52="","",IF(J52=D$49+1,(C$49/D$49)*(I$49/360),C$49/D$49))</f>
        <v/>
      </c>
      <c r="N52" s="34" t="str">
        <f t="shared" si="39"/>
        <v/>
      </c>
      <c r="O52" s="34" t="str">
        <f t="shared" si="37"/>
        <v/>
      </c>
      <c r="P52" s="25"/>
    </row>
    <row r="53" spans="2:16" x14ac:dyDescent="0.25">
      <c r="J53" s="27" t="str">
        <f t="shared" si="40"/>
        <v/>
      </c>
      <c r="K53" s="27" t="str">
        <f t="shared" si="41"/>
        <v/>
      </c>
      <c r="L53" s="34" t="str">
        <f t="shared" si="38"/>
        <v/>
      </c>
      <c r="M53" s="34" t="str">
        <f>IF(J53="","",IF(J53=D$49+1,(C$49/D$49)*(I$49/360),C$49/D$49))</f>
        <v/>
      </c>
      <c r="N53" s="34" t="str">
        <f t="shared" si="39"/>
        <v/>
      </c>
      <c r="O53" s="34" t="str">
        <f t="shared" si="37"/>
        <v/>
      </c>
      <c r="P53" s="25"/>
    </row>
    <row r="54" spans="2:16" x14ac:dyDescent="0.25">
      <c r="J54" s="27" t="str">
        <f t="shared" si="40"/>
        <v/>
      </c>
      <c r="K54" s="27" t="str">
        <f t="shared" si="41"/>
        <v/>
      </c>
      <c r="L54" s="34" t="str">
        <f t="shared" si="38"/>
        <v/>
      </c>
      <c r="M54" s="34" t="str">
        <f>IF(J54="","",IF(J54=D$49+1,(C$49/D$49)*(I$49/360),C$49/D$49))</f>
        <v/>
      </c>
      <c r="N54" s="34" t="str">
        <f t="shared" si="39"/>
        <v/>
      </c>
      <c r="O54" s="34" t="str">
        <f t="shared" si="37"/>
        <v/>
      </c>
      <c r="P54" s="25"/>
    </row>
    <row r="56" spans="2:16" x14ac:dyDescent="0.25">
      <c r="B56" s="27">
        <f>B49+1</f>
        <v>8</v>
      </c>
      <c r="C56" s="28"/>
      <c r="D56" s="29"/>
      <c r="E56" s="37"/>
      <c r="F56" s="37"/>
      <c r="G56" s="39">
        <f>YEAR(F56)</f>
        <v>1900</v>
      </c>
      <c r="H56" s="27" t="str">
        <f>IF(OR(E56="",F56=""),"",(360-(E56-F56)))</f>
        <v/>
      </c>
      <c r="I56" s="27" t="str">
        <f>IF(OR(E56="",F56=""),"",360-H56)</f>
        <v/>
      </c>
      <c r="J56" s="27" t="str">
        <f>IF(OR(D56="",C56="",H56=""),"",1)</f>
        <v/>
      </c>
      <c r="K56" s="27">
        <f>IF(G56="","",G56)</f>
        <v>1900</v>
      </c>
      <c r="L56" s="34" t="str">
        <f>IF(C56="","",C56)</f>
        <v/>
      </c>
      <c r="M56" s="34" t="str">
        <f>IF(OR(J56="",H56=""),"",(C$56/D$56)*H56/360)</f>
        <v/>
      </c>
      <c r="N56" s="34" t="str">
        <f>M56</f>
        <v/>
      </c>
      <c r="O56" s="34" t="str">
        <f>IF(J56="","",L56-M56)</f>
        <v/>
      </c>
      <c r="P56" s="25"/>
    </row>
    <row r="57" spans="2:16" x14ac:dyDescent="0.25">
      <c r="C57" s="186"/>
      <c r="D57" s="186"/>
      <c r="E57" s="187"/>
      <c r="F57" s="187"/>
      <c r="G57" s="40"/>
      <c r="J57" s="27" t="str">
        <f>IF(J56="","",IF(J56+1&gt;D$56+1,"",J56+1))</f>
        <v/>
      </c>
      <c r="K57" s="27" t="str">
        <f>IF(J57="","",K56+1)</f>
        <v/>
      </c>
      <c r="L57" s="34" t="str">
        <f t="shared" ref="L57:L61" si="42">IF(J57="","",L56-M56)</f>
        <v/>
      </c>
      <c r="M57" s="34" t="str">
        <f>IF(J57="","",IF(J57=D$56+1,(C$56/D$56)*(I$56/360),C$56/D$56))</f>
        <v/>
      </c>
      <c r="N57" s="34" t="str">
        <f t="shared" ref="N57:N61" si="43">IF(J57="","",N56+M57)</f>
        <v/>
      </c>
      <c r="O57" s="34" t="str">
        <f>IF(J57="","",L57-M57)</f>
        <v/>
      </c>
      <c r="P57" s="25"/>
    </row>
    <row r="58" spans="2:16" x14ac:dyDescent="0.25">
      <c r="J58" s="27" t="str">
        <f t="shared" ref="J58:J61" si="44">IF(J57="","",IF(J57+1&gt;D$56+1,"",J57+1))</f>
        <v/>
      </c>
      <c r="K58" s="27" t="str">
        <f t="shared" ref="K58:K61" si="45">IF(J58="","",K57+1)</f>
        <v/>
      </c>
      <c r="L58" s="34" t="str">
        <f t="shared" si="42"/>
        <v/>
      </c>
      <c r="M58" s="34" t="str">
        <f t="shared" ref="M58:M61" si="46">IF(J58="","",IF(J58=D$56+1,(C$56/D$56)*(I$56/360),C$56/D$56))</f>
        <v/>
      </c>
      <c r="N58" s="34" t="str">
        <f t="shared" si="43"/>
        <v/>
      </c>
      <c r="O58" s="34" t="str">
        <f t="shared" ref="O58:O61" si="47">IF(J58="","",L58-M58)</f>
        <v/>
      </c>
      <c r="P58" s="25"/>
    </row>
    <row r="59" spans="2:16" x14ac:dyDescent="0.25">
      <c r="J59" s="27" t="str">
        <f t="shared" si="44"/>
        <v/>
      </c>
      <c r="K59" s="27" t="str">
        <f t="shared" si="45"/>
        <v/>
      </c>
      <c r="L59" s="34" t="str">
        <f t="shared" si="42"/>
        <v/>
      </c>
      <c r="M59" s="34" t="str">
        <f t="shared" si="46"/>
        <v/>
      </c>
      <c r="N59" s="34" t="str">
        <f t="shared" si="43"/>
        <v/>
      </c>
      <c r="O59" s="34" t="str">
        <f t="shared" si="47"/>
        <v/>
      </c>
      <c r="P59" s="25"/>
    </row>
    <row r="60" spans="2:16" x14ac:dyDescent="0.25">
      <c r="J60" s="27" t="str">
        <f t="shared" si="44"/>
        <v/>
      </c>
      <c r="K60" s="27" t="str">
        <f t="shared" si="45"/>
        <v/>
      </c>
      <c r="L60" s="34" t="str">
        <f t="shared" si="42"/>
        <v/>
      </c>
      <c r="M60" s="34" t="str">
        <f t="shared" si="46"/>
        <v/>
      </c>
      <c r="N60" s="34" t="str">
        <f t="shared" si="43"/>
        <v/>
      </c>
      <c r="O60" s="34" t="str">
        <f t="shared" si="47"/>
        <v/>
      </c>
      <c r="P60" s="25"/>
    </row>
    <row r="61" spans="2:16" x14ac:dyDescent="0.25">
      <c r="J61" s="27" t="str">
        <f t="shared" si="44"/>
        <v/>
      </c>
      <c r="K61" s="27" t="str">
        <f t="shared" si="45"/>
        <v/>
      </c>
      <c r="L61" s="34" t="str">
        <f t="shared" si="42"/>
        <v/>
      </c>
      <c r="M61" s="34" t="str">
        <f t="shared" si="46"/>
        <v/>
      </c>
      <c r="N61" s="34" t="str">
        <f t="shared" si="43"/>
        <v/>
      </c>
      <c r="O61" s="34" t="str">
        <f t="shared" si="47"/>
        <v/>
      </c>
      <c r="P61" s="25"/>
    </row>
  </sheetData>
  <mergeCells count="20">
    <mergeCell ref="C2:F2"/>
    <mergeCell ref="J2:O2"/>
    <mergeCell ref="Q2:U2"/>
    <mergeCell ref="C4:E4"/>
    <mergeCell ref="C8:D8"/>
    <mergeCell ref="E8:F8"/>
    <mergeCell ref="C15:D15"/>
    <mergeCell ref="E15:F15"/>
    <mergeCell ref="C22:D22"/>
    <mergeCell ref="E22:F22"/>
    <mergeCell ref="C29:D29"/>
    <mergeCell ref="E29:F29"/>
    <mergeCell ref="C57:D57"/>
    <mergeCell ref="E57:F57"/>
    <mergeCell ref="C36:D36"/>
    <mergeCell ref="E36:F36"/>
    <mergeCell ref="C43:D43"/>
    <mergeCell ref="E43:F43"/>
    <mergeCell ref="C50:D50"/>
    <mergeCell ref="E50:F50"/>
  </mergeCells>
  <conditionalFormatting sqref="J7:O7">
    <cfRule type="expression" dxfId="224" priority="52">
      <formula>$I$2=$K$7</formula>
    </cfRule>
  </conditionalFormatting>
  <conditionalFormatting sqref="J8:O8">
    <cfRule type="expression" dxfId="223" priority="53">
      <formula>$I$2=$K$8</formula>
    </cfRule>
  </conditionalFormatting>
  <conditionalFormatting sqref="J9:O9">
    <cfRule type="expression" dxfId="222" priority="54">
      <formula>$I$2=$K$9</formula>
    </cfRule>
  </conditionalFormatting>
  <conditionalFormatting sqref="J10:O10">
    <cfRule type="expression" dxfId="221" priority="55">
      <formula>$I$2=$K$10</formula>
    </cfRule>
  </conditionalFormatting>
  <conditionalFormatting sqref="J11:O11">
    <cfRule type="expression" dxfId="220" priority="56">
      <formula>$I$2=$K$11</formula>
    </cfRule>
  </conditionalFormatting>
  <conditionalFormatting sqref="J12:O12">
    <cfRule type="expression" dxfId="219" priority="57">
      <formula>$I$2=$K$12</formula>
    </cfRule>
  </conditionalFormatting>
  <conditionalFormatting sqref="J14:O14">
    <cfRule type="expression" dxfId="218" priority="10">
      <formula>$I$2=$K$14</formula>
    </cfRule>
  </conditionalFormatting>
  <conditionalFormatting sqref="J15:O15">
    <cfRule type="expression" dxfId="217" priority="11">
      <formula>$I$2=$K$15</formula>
    </cfRule>
  </conditionalFormatting>
  <conditionalFormatting sqref="J16:O16">
    <cfRule type="expression" dxfId="216" priority="12">
      <formula>$I$2=$K$16</formula>
    </cfRule>
  </conditionalFormatting>
  <conditionalFormatting sqref="J17:O17">
    <cfRule type="expression" dxfId="215" priority="13">
      <formula>$I$2=$K$17</formula>
    </cfRule>
  </conditionalFormatting>
  <conditionalFormatting sqref="J18:O18">
    <cfRule type="expression" dxfId="214" priority="14">
      <formula>$I$2=$K$18</formula>
    </cfRule>
  </conditionalFormatting>
  <conditionalFormatting sqref="J19:O19">
    <cfRule type="expression" dxfId="213" priority="15">
      <formula>$I$2=$K$19</formula>
    </cfRule>
  </conditionalFormatting>
  <conditionalFormatting sqref="J21:O21">
    <cfRule type="expression" dxfId="212" priority="46">
      <formula>$I$2=$K$21</formula>
    </cfRule>
  </conditionalFormatting>
  <conditionalFormatting sqref="J22:O22">
    <cfRule type="expression" dxfId="211" priority="47">
      <formula>$I$2=$K$22</formula>
    </cfRule>
  </conditionalFormatting>
  <conditionalFormatting sqref="J23:O23">
    <cfRule type="expression" dxfId="210" priority="48">
      <formula>$I$2=$K$23</formula>
    </cfRule>
  </conditionalFormatting>
  <conditionalFormatting sqref="J24:O24">
    <cfRule type="expression" dxfId="209" priority="49">
      <formula>$I$2=$K$24</formula>
    </cfRule>
  </conditionalFormatting>
  <conditionalFormatting sqref="J25:O25">
    <cfRule type="expression" dxfId="208" priority="50">
      <formula>$I$2=$K$25</formula>
    </cfRule>
  </conditionalFormatting>
  <conditionalFormatting sqref="J26:O26">
    <cfRule type="expression" dxfId="207" priority="51">
      <formula>$I$2=$K$26</formula>
    </cfRule>
  </conditionalFormatting>
  <conditionalFormatting sqref="J28:O28">
    <cfRule type="expression" dxfId="206" priority="9">
      <formula>$I$2=$K$28</formula>
    </cfRule>
  </conditionalFormatting>
  <conditionalFormatting sqref="J29:O29">
    <cfRule type="expression" dxfId="205" priority="41">
      <formula>$I$2=$K$29</formula>
    </cfRule>
  </conditionalFormatting>
  <conditionalFormatting sqref="J30:O30">
    <cfRule type="expression" dxfId="204" priority="42">
      <formula>$I$2=$K$30</formula>
    </cfRule>
  </conditionalFormatting>
  <conditionalFormatting sqref="J31:O31">
    <cfRule type="expression" dxfId="203" priority="43">
      <formula>$I$2=$K$31</formula>
    </cfRule>
  </conditionalFormatting>
  <conditionalFormatting sqref="J32:O32">
    <cfRule type="expression" dxfId="202" priority="44">
      <formula>$I$2=$K$32</formula>
    </cfRule>
  </conditionalFormatting>
  <conditionalFormatting sqref="J33:O33">
    <cfRule type="expression" dxfId="201" priority="45">
      <formula>$I$2=$K$33</formula>
    </cfRule>
  </conditionalFormatting>
  <conditionalFormatting sqref="J35:O35">
    <cfRule type="expression" dxfId="200" priority="35">
      <formula>$I$2=$K$35</formula>
    </cfRule>
  </conditionalFormatting>
  <conditionalFormatting sqref="J36:O36">
    <cfRule type="expression" dxfId="199" priority="36">
      <formula>$I$2=$K$36</formula>
    </cfRule>
  </conditionalFormatting>
  <conditionalFormatting sqref="J37:O37">
    <cfRule type="expression" dxfId="198" priority="37">
      <formula>$I$2=$K$37</formula>
    </cfRule>
  </conditionalFormatting>
  <conditionalFormatting sqref="J38:O38">
    <cfRule type="expression" dxfId="197" priority="38">
      <formula>$I$2=$K$38</formula>
    </cfRule>
  </conditionalFormatting>
  <conditionalFormatting sqref="J39:O39">
    <cfRule type="expression" dxfId="196" priority="39">
      <formula>$I$2=$K$39</formula>
    </cfRule>
  </conditionalFormatting>
  <conditionalFormatting sqref="J40:O40">
    <cfRule type="expression" dxfId="195" priority="40">
      <formula>$I$2=$K$40</formula>
    </cfRule>
  </conditionalFormatting>
  <conditionalFormatting sqref="J42:O42">
    <cfRule type="expression" dxfId="194" priority="29">
      <formula>$I$2=$K$42</formula>
    </cfRule>
  </conditionalFormatting>
  <conditionalFormatting sqref="J43:O43">
    <cfRule type="expression" dxfId="193" priority="30">
      <formula>$I$2=$K$43</formula>
    </cfRule>
  </conditionalFormatting>
  <conditionalFormatting sqref="J44:O44">
    <cfRule type="expression" dxfId="192" priority="31">
      <formula>$I$2=$K$44</formula>
    </cfRule>
  </conditionalFormatting>
  <conditionalFormatting sqref="J45:O45">
    <cfRule type="expression" dxfId="191" priority="32">
      <formula>$I$2=$K$45</formula>
    </cfRule>
  </conditionalFormatting>
  <conditionalFormatting sqref="J46:O46">
    <cfRule type="expression" dxfId="190" priority="33">
      <formula>$I$2=$K$46</formula>
    </cfRule>
  </conditionalFormatting>
  <conditionalFormatting sqref="J47:O47">
    <cfRule type="expression" dxfId="189" priority="34">
      <formula>$I$2=$K$47</formula>
    </cfRule>
  </conditionalFormatting>
  <conditionalFormatting sqref="J49:O49">
    <cfRule type="expression" dxfId="188" priority="23">
      <formula>$I$2=$K$49</formula>
    </cfRule>
  </conditionalFormatting>
  <conditionalFormatting sqref="J50:O50">
    <cfRule type="expression" dxfId="187" priority="24">
      <formula>$I$2=$K$50</formula>
    </cfRule>
  </conditionalFormatting>
  <conditionalFormatting sqref="J51:O51">
    <cfRule type="expression" dxfId="186" priority="25">
      <formula>$I$2=$K$51</formula>
    </cfRule>
  </conditionalFormatting>
  <conditionalFormatting sqref="J52:O52">
    <cfRule type="expression" dxfId="185" priority="26">
      <formula>$I$2=$K$52</formula>
    </cfRule>
  </conditionalFormatting>
  <conditionalFormatting sqref="J53:O53">
    <cfRule type="expression" dxfId="184" priority="27">
      <formula>$I$2=$K$53</formula>
    </cfRule>
  </conditionalFormatting>
  <conditionalFormatting sqref="J54:O54">
    <cfRule type="expression" dxfId="183" priority="28">
      <formula>$I$2=$K$54</formula>
    </cfRule>
  </conditionalFormatting>
  <conditionalFormatting sqref="J56:O56">
    <cfRule type="expression" dxfId="182" priority="17">
      <formula>$I$2=$K$56</formula>
    </cfRule>
  </conditionalFormatting>
  <conditionalFormatting sqref="J57:O57">
    <cfRule type="expression" dxfId="181" priority="18">
      <formula>$I$2=$K$57</formula>
    </cfRule>
  </conditionalFormatting>
  <conditionalFormatting sqref="J58:O58">
    <cfRule type="expression" dxfId="180" priority="19">
      <formula>$I$2=$K$58</formula>
    </cfRule>
  </conditionalFormatting>
  <conditionalFormatting sqref="J59:O59">
    <cfRule type="expression" dxfId="179" priority="20">
      <formula>$I$2=$K$59</formula>
    </cfRule>
  </conditionalFormatting>
  <conditionalFormatting sqref="J60:O60">
    <cfRule type="expression" dxfId="178" priority="21">
      <formula>$I$2=$K$60</formula>
    </cfRule>
  </conditionalFormatting>
  <conditionalFormatting sqref="J61:O61">
    <cfRule type="expression" dxfId="177" priority="22">
      <formula>$I$2=$K$61</formula>
    </cfRule>
  </conditionalFormatting>
  <conditionalFormatting sqref="Q7:U7">
    <cfRule type="expression" dxfId="176" priority="16">
      <formula>$I$2=$Q$7</formula>
    </cfRule>
  </conditionalFormatting>
  <conditionalFormatting sqref="Q8:U8">
    <cfRule type="expression" dxfId="175" priority="1">
      <formula>$I$2=$Q$8</formula>
    </cfRule>
  </conditionalFormatting>
  <conditionalFormatting sqref="Q9:U9">
    <cfRule type="expression" dxfId="174" priority="8">
      <formula>$I$2=$Q$9</formula>
    </cfRule>
  </conditionalFormatting>
  <conditionalFormatting sqref="Q10:U10">
    <cfRule type="expression" dxfId="173" priority="7">
      <formula>$I$2=$Q$10</formula>
    </cfRule>
  </conditionalFormatting>
  <conditionalFormatting sqref="Q11:U11">
    <cfRule type="expression" dxfId="172" priority="6">
      <formula>$I$2=$Q$11</formula>
    </cfRule>
  </conditionalFormatting>
  <conditionalFormatting sqref="Q12:U12">
    <cfRule type="expression" dxfId="171" priority="5">
      <formula>$I$2=$Q$12</formula>
    </cfRule>
  </conditionalFormatting>
  <conditionalFormatting sqref="Q13:U13">
    <cfRule type="expression" dxfId="170" priority="4">
      <formula>$I$2=$Q$13</formula>
    </cfRule>
  </conditionalFormatting>
  <conditionalFormatting sqref="Q14:U14">
    <cfRule type="expression" dxfId="169" priority="3">
      <formula>$I$2=$Q$14</formula>
    </cfRule>
  </conditionalFormatting>
  <conditionalFormatting sqref="Q15:U15">
    <cfRule type="expression" dxfId="168" priority="2">
      <formula>$I$2=$Q$15</formula>
    </cfRule>
  </conditionalFormatting>
  <pageMargins left="0.25" right="0.25" top="0.75" bottom="0.75" header="0.3" footer="0.3"/>
  <pageSetup scale="7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U61"/>
  <sheetViews>
    <sheetView workbookViewId="0">
      <selection activeCell="E15" sqref="E15:F15"/>
    </sheetView>
  </sheetViews>
  <sheetFormatPr defaultColWidth="9.140625" defaultRowHeight="15" x14ac:dyDescent="0.25"/>
  <cols>
    <col min="1" max="1" width="3.42578125" customWidth="1"/>
    <col min="2" max="2" width="6" style="24" customWidth="1"/>
    <col min="3" max="3" width="14.5703125" style="25" customWidth="1"/>
    <col min="4" max="4" width="15.42578125" style="24" customWidth="1"/>
    <col min="5" max="5" width="11.7109375" style="26" customWidth="1"/>
    <col min="6" max="6" width="12.5703125" style="26" customWidth="1"/>
    <col min="7" max="7" width="13.85546875" style="26" hidden="1" customWidth="1"/>
    <col min="8" max="8" width="10.140625" style="24" customWidth="1"/>
    <col min="9" max="9" width="9.7109375" style="24" customWidth="1"/>
    <col min="10" max="10" width="7.5703125" style="24" customWidth="1"/>
    <col min="11" max="11" width="8.85546875" customWidth="1"/>
    <col min="12" max="12" width="16.42578125" customWidth="1"/>
    <col min="13" max="13" width="16.140625" customWidth="1"/>
    <col min="14" max="14" width="15.7109375" customWidth="1"/>
    <col min="15" max="15" width="15.42578125" customWidth="1"/>
    <col min="16" max="16" width="6.42578125" customWidth="1"/>
    <col min="18" max="18" width="16.85546875" customWidth="1"/>
    <col min="19" max="19" width="16.28515625" customWidth="1"/>
    <col min="20" max="20" width="16" customWidth="1"/>
    <col min="21" max="21" width="17.85546875" customWidth="1"/>
  </cols>
  <sheetData>
    <row r="2" spans="2:21" ht="23.25" x14ac:dyDescent="0.25">
      <c r="C2" s="188" t="s">
        <v>55</v>
      </c>
      <c r="D2" s="188"/>
      <c r="E2" s="188"/>
      <c r="F2" s="188"/>
      <c r="G2" s="38"/>
      <c r="I2" s="35">
        <v>2025</v>
      </c>
      <c r="J2" s="189" t="s">
        <v>56</v>
      </c>
      <c r="K2" s="189"/>
      <c r="L2" s="189"/>
      <c r="M2" s="189"/>
      <c r="N2" s="189"/>
      <c r="O2" s="189"/>
      <c r="Q2" s="189" t="s">
        <v>65</v>
      </c>
      <c r="R2" s="189"/>
      <c r="S2" s="189"/>
      <c r="T2" s="189"/>
      <c r="U2" s="189"/>
    </row>
    <row r="3" spans="2:21" ht="12" customHeight="1" x14ac:dyDescent="0.25">
      <c r="C3" s="38"/>
      <c r="D3" s="38"/>
      <c r="E3" s="38"/>
      <c r="F3" s="38"/>
      <c r="G3" s="38"/>
      <c r="I3" s="59"/>
      <c r="J3" s="59"/>
      <c r="K3" s="59"/>
      <c r="L3" s="59"/>
      <c r="M3" s="59"/>
      <c r="N3" s="59"/>
      <c r="O3" s="59"/>
      <c r="Q3" s="59"/>
      <c r="R3" s="59"/>
      <c r="S3" s="59"/>
      <c r="T3" s="59"/>
      <c r="U3" s="59"/>
    </row>
    <row r="4" spans="2:21" ht="23.45" customHeight="1" x14ac:dyDescent="0.25">
      <c r="B4" s="146" t="s">
        <v>102</v>
      </c>
      <c r="C4" s="190" t="s">
        <v>66</v>
      </c>
      <c r="D4" s="191"/>
      <c r="E4" s="192"/>
      <c r="F4" s="38"/>
      <c r="G4" s="38"/>
      <c r="I4" s="59"/>
      <c r="J4" s="59"/>
      <c r="K4" s="59"/>
      <c r="L4" s="59"/>
      <c r="M4" s="59"/>
      <c r="N4" s="59"/>
      <c r="O4" s="59"/>
      <c r="Q4" s="59"/>
      <c r="R4" s="59"/>
      <c r="S4" s="59"/>
      <c r="T4" s="59"/>
      <c r="U4" s="59"/>
    </row>
    <row r="6" spans="2:21" s="30" customFormat="1" ht="58.5" customHeight="1" x14ac:dyDescent="0.25">
      <c r="B6" s="31" t="s">
        <v>47</v>
      </c>
      <c r="C6" s="32" t="s">
        <v>1</v>
      </c>
      <c r="D6" s="31" t="s">
        <v>42</v>
      </c>
      <c r="E6" s="33" t="s">
        <v>43</v>
      </c>
      <c r="F6" s="33" t="s">
        <v>44</v>
      </c>
      <c r="G6" s="33"/>
      <c r="H6" s="31" t="s">
        <v>45</v>
      </c>
      <c r="I6" s="31" t="s">
        <v>46</v>
      </c>
      <c r="J6" s="31" t="s">
        <v>49</v>
      </c>
      <c r="K6" s="31" t="s">
        <v>9</v>
      </c>
      <c r="L6" s="31" t="s">
        <v>48</v>
      </c>
      <c r="M6" s="31" t="s">
        <v>11</v>
      </c>
      <c r="N6" s="31" t="s">
        <v>12</v>
      </c>
      <c r="O6" s="31" t="s">
        <v>13</v>
      </c>
      <c r="Q6" s="31" t="s">
        <v>9</v>
      </c>
      <c r="R6" s="31" t="s">
        <v>48</v>
      </c>
      <c r="S6" s="31" t="s">
        <v>11</v>
      </c>
      <c r="T6" s="31" t="s">
        <v>12</v>
      </c>
      <c r="U6" s="31" t="s">
        <v>13</v>
      </c>
    </row>
    <row r="7" spans="2:21" ht="14.45" x14ac:dyDescent="0.3">
      <c r="B7" s="27">
        <v>1</v>
      </c>
      <c r="C7" s="28">
        <f>25562.82-8000</f>
        <v>17562.82</v>
      </c>
      <c r="D7" s="29">
        <v>5</v>
      </c>
      <c r="E7" s="37">
        <v>44742</v>
      </c>
      <c r="F7" s="37">
        <v>44562</v>
      </c>
      <c r="G7" s="39">
        <f>YEAR(F7)</f>
        <v>2022</v>
      </c>
      <c r="H7" s="27">
        <f>IF(OR(E7="",F7=""),"",(360-(E7-F7)))</f>
        <v>180</v>
      </c>
      <c r="I7" s="27">
        <f>IF(OR(E7="",F7=""),"",360-H7)</f>
        <v>180</v>
      </c>
      <c r="J7" s="27">
        <f>IF(OR(D7="",C7="",H7=""),"",1)</f>
        <v>1</v>
      </c>
      <c r="K7" s="27">
        <f>IF(G7="","",G7)</f>
        <v>2022</v>
      </c>
      <c r="L7" s="34">
        <f>IF(C7="","",C7)</f>
        <v>17562.82</v>
      </c>
      <c r="M7" s="34">
        <f>IF(OR(J7="",H7=""),"",(C$7/D$7)*H7/360)</f>
        <v>1756.2820000000002</v>
      </c>
      <c r="N7" s="34">
        <f>M7</f>
        <v>1756.2820000000002</v>
      </c>
      <c r="O7" s="34">
        <f t="shared" ref="O7:O12" si="0">IF(J7="","",L7-M7)</f>
        <v>15806.538</v>
      </c>
      <c r="P7" s="25"/>
      <c r="Q7" s="27">
        <v>2022</v>
      </c>
      <c r="R7" s="34">
        <f t="shared" ref="R7:R15" si="1">SUMIF($K$7:$K$61,Q7,$L$7:$L$61)</f>
        <v>17562.82</v>
      </c>
      <c r="S7" s="34">
        <f t="shared" ref="S7:S12" si="2">SUMIF($K$7:$K$61,Q7,$M$7:$M$61)</f>
        <v>1756.2820000000002</v>
      </c>
      <c r="T7" s="34">
        <f t="shared" ref="T7:T12" si="3">SUMIF($K$7:$K$61,Q7,$N$7:$N$61)</f>
        <v>1756.2820000000002</v>
      </c>
      <c r="U7" s="34">
        <f t="shared" ref="U7:U12" si="4">SUMIF($K$7:$K$61,Q7,$O$7:$O$61)</f>
        <v>15806.538</v>
      </c>
    </row>
    <row r="8" spans="2:21" ht="14.45" x14ac:dyDescent="0.3">
      <c r="C8" s="186" t="s">
        <v>67</v>
      </c>
      <c r="D8" s="186"/>
      <c r="E8" s="187" t="s">
        <v>54</v>
      </c>
      <c r="F8" s="187"/>
      <c r="G8" s="40"/>
      <c r="J8" s="27">
        <f t="shared" ref="J8:J12" si="5">IF(J7="","",IF(J7+1&gt;D$7+1,"",J7+1))</f>
        <v>2</v>
      </c>
      <c r="K8" s="27">
        <f>IF(J8="","",K7+1)</f>
        <v>2023</v>
      </c>
      <c r="L8" s="34">
        <f t="shared" ref="L8:L12" si="6">IF(J8="","",L7-M7)</f>
        <v>15806.538</v>
      </c>
      <c r="M8" s="34">
        <f t="shared" ref="M8:M12" si="7">IF(J8="","",IF(J8=D$7+1,(C$7/D$7)*(I$7/360),C$7/D$7))</f>
        <v>3512.5639999999999</v>
      </c>
      <c r="N8" s="34">
        <f t="shared" ref="N8:N12" si="8">IF(J8="","",N7+M8)</f>
        <v>5268.8459999999995</v>
      </c>
      <c r="O8" s="34">
        <f t="shared" si="0"/>
        <v>12293.974</v>
      </c>
      <c r="P8" s="25"/>
      <c r="Q8" s="27">
        <f>Q7+1</f>
        <v>2023</v>
      </c>
      <c r="R8" s="34">
        <f t="shared" si="1"/>
        <v>15806.538</v>
      </c>
      <c r="S8" s="34">
        <f t="shared" si="2"/>
        <v>3512.5639999999999</v>
      </c>
      <c r="T8" s="34">
        <f t="shared" si="3"/>
        <v>5268.8459999999995</v>
      </c>
      <c r="U8" s="34">
        <f t="shared" si="4"/>
        <v>12293.974</v>
      </c>
    </row>
    <row r="9" spans="2:21" ht="14.45" x14ac:dyDescent="0.3">
      <c r="J9" s="27">
        <f t="shared" si="5"/>
        <v>3</v>
      </c>
      <c r="K9" s="27">
        <f t="shared" ref="K9:K12" si="9">IF(J9="","",K8+1)</f>
        <v>2024</v>
      </c>
      <c r="L9" s="34">
        <f t="shared" si="6"/>
        <v>12293.974</v>
      </c>
      <c r="M9" s="34">
        <f t="shared" si="7"/>
        <v>3512.5639999999999</v>
      </c>
      <c r="N9" s="34">
        <f t="shared" si="8"/>
        <v>8781.41</v>
      </c>
      <c r="O9" s="34">
        <f t="shared" si="0"/>
        <v>8781.41</v>
      </c>
      <c r="P9" s="25"/>
      <c r="Q9" s="27">
        <f t="shared" ref="Q9:Q15" si="10">Q8+1</f>
        <v>2024</v>
      </c>
      <c r="R9" s="34">
        <f t="shared" si="1"/>
        <v>12293.974</v>
      </c>
      <c r="S9" s="34">
        <f t="shared" si="2"/>
        <v>3512.5639999999999</v>
      </c>
      <c r="T9" s="34">
        <f t="shared" si="3"/>
        <v>8781.41</v>
      </c>
      <c r="U9" s="34">
        <f t="shared" si="4"/>
        <v>8781.41</v>
      </c>
    </row>
    <row r="10" spans="2:21" ht="14.45" x14ac:dyDescent="0.3">
      <c r="J10" s="27">
        <f t="shared" si="5"/>
        <v>4</v>
      </c>
      <c r="K10" s="27">
        <f t="shared" si="9"/>
        <v>2025</v>
      </c>
      <c r="L10" s="34">
        <f t="shared" si="6"/>
        <v>8781.41</v>
      </c>
      <c r="M10" s="34">
        <f t="shared" si="7"/>
        <v>3512.5639999999999</v>
      </c>
      <c r="N10" s="34">
        <f t="shared" si="8"/>
        <v>12293.974</v>
      </c>
      <c r="O10" s="34">
        <f t="shared" si="0"/>
        <v>5268.8459999999995</v>
      </c>
      <c r="P10" s="25"/>
      <c r="Q10" s="27">
        <f t="shared" si="10"/>
        <v>2025</v>
      </c>
      <c r="R10" s="34">
        <f t="shared" si="1"/>
        <v>8781.41</v>
      </c>
      <c r="S10" s="34">
        <f t="shared" si="2"/>
        <v>3512.5639999999999</v>
      </c>
      <c r="T10" s="34">
        <f t="shared" si="3"/>
        <v>12293.974</v>
      </c>
      <c r="U10" s="34">
        <f t="shared" si="4"/>
        <v>5268.8459999999995</v>
      </c>
    </row>
    <row r="11" spans="2:21" ht="14.45" x14ac:dyDescent="0.3">
      <c r="J11" s="27">
        <f t="shared" si="5"/>
        <v>5</v>
      </c>
      <c r="K11" s="27">
        <f t="shared" si="9"/>
        <v>2026</v>
      </c>
      <c r="L11" s="34">
        <f t="shared" si="6"/>
        <v>5268.8459999999995</v>
      </c>
      <c r="M11" s="34">
        <f t="shared" si="7"/>
        <v>3512.5639999999999</v>
      </c>
      <c r="N11" s="34">
        <f t="shared" si="8"/>
        <v>15806.538</v>
      </c>
      <c r="O11" s="34">
        <f t="shared" si="0"/>
        <v>1756.2819999999997</v>
      </c>
      <c r="P11" s="25"/>
      <c r="Q11" s="27">
        <f t="shared" si="10"/>
        <v>2026</v>
      </c>
      <c r="R11" s="34">
        <f t="shared" si="1"/>
        <v>39196.175999999999</v>
      </c>
      <c r="S11" s="34">
        <f t="shared" si="2"/>
        <v>8601.6635000000006</v>
      </c>
      <c r="T11" s="34">
        <f t="shared" si="3"/>
        <v>20895.637500000001</v>
      </c>
      <c r="U11" s="34">
        <f t="shared" si="4"/>
        <v>30594.512500000001</v>
      </c>
    </row>
    <row r="12" spans="2:21" ht="14.45" x14ac:dyDescent="0.3">
      <c r="J12" s="27">
        <f t="shared" si="5"/>
        <v>6</v>
      </c>
      <c r="K12" s="27">
        <f t="shared" si="9"/>
        <v>2027</v>
      </c>
      <c r="L12" s="34">
        <f t="shared" si="6"/>
        <v>1756.2819999999997</v>
      </c>
      <c r="M12" s="34">
        <f t="shared" si="7"/>
        <v>1756.2819999999999</v>
      </c>
      <c r="N12" s="34">
        <f t="shared" si="8"/>
        <v>17562.82</v>
      </c>
      <c r="O12" s="34">
        <f t="shared" si="0"/>
        <v>-2.2737367544323206E-13</v>
      </c>
      <c r="P12" s="25"/>
      <c r="Q12" s="27">
        <f t="shared" si="10"/>
        <v>2027</v>
      </c>
      <c r="R12" s="34">
        <f t="shared" si="1"/>
        <v>30594.512500000001</v>
      </c>
      <c r="S12" s="34">
        <f t="shared" si="2"/>
        <v>8541.7479999999996</v>
      </c>
      <c r="T12" s="34">
        <f t="shared" si="3"/>
        <v>29437.3855</v>
      </c>
      <c r="U12" s="34">
        <f t="shared" si="4"/>
        <v>22052.764500000001</v>
      </c>
    </row>
    <row r="13" spans="2:21" ht="14.45" x14ac:dyDescent="0.3">
      <c r="Q13" s="27">
        <f t="shared" si="10"/>
        <v>2028</v>
      </c>
      <c r="R13" s="34">
        <f t="shared" si="1"/>
        <v>22052.764500000001</v>
      </c>
      <c r="S13" s="34">
        <f t="shared" ref="S13:S15" si="11">SUMIF($K$7:$K$61,Q13,$M$7:$M$61)</f>
        <v>6785.4660000000003</v>
      </c>
      <c r="T13" s="34">
        <f t="shared" ref="T13:T15" si="12">SUMIF($K$7:$K$61,Q13,$N$7:$N$61)</f>
        <v>18660.031500000001</v>
      </c>
      <c r="U13" s="34">
        <f t="shared" ref="U13:U15" si="13">SUMIF($K$7:$K$61,Q13,$O$7:$O$61)</f>
        <v>15267.298500000001</v>
      </c>
    </row>
    <row r="14" spans="2:21" ht="14.45" x14ac:dyDescent="0.3">
      <c r="B14" s="27">
        <f>B7+1</f>
        <v>2</v>
      </c>
      <c r="C14" s="28">
        <v>33927.33</v>
      </c>
      <c r="D14" s="29">
        <v>5</v>
      </c>
      <c r="E14" s="37">
        <v>46113</v>
      </c>
      <c r="F14" s="37">
        <v>46023</v>
      </c>
      <c r="G14" s="39">
        <f>YEAR(F14)</f>
        <v>2026</v>
      </c>
      <c r="H14" s="27">
        <f>IF(OR(E14="",F14=""),"",(360-(E14-F14)))</f>
        <v>270</v>
      </c>
      <c r="I14" s="27">
        <f>IF(OR(E14="",F14=""),"",360-H14)</f>
        <v>90</v>
      </c>
      <c r="J14" s="27">
        <f>IF(OR(D14="",C14="",H14=""),"",1)</f>
        <v>1</v>
      </c>
      <c r="K14" s="27">
        <f>IF(G14="","",G14)</f>
        <v>2026</v>
      </c>
      <c r="L14" s="34">
        <f>IF(C14="","",C14)</f>
        <v>33927.33</v>
      </c>
      <c r="M14" s="34">
        <f>IF(OR(J14="",H14=""),"",(C$14/D$14)*H14/360)</f>
        <v>5089.0995000000003</v>
      </c>
      <c r="N14" s="34">
        <f>M14</f>
        <v>5089.0995000000003</v>
      </c>
      <c r="O14" s="34">
        <f t="shared" ref="O14:O19" si="14">IF(J14="","",L14-M14)</f>
        <v>28838.230500000001</v>
      </c>
      <c r="P14" s="25"/>
      <c r="Q14" s="27">
        <f t="shared" si="10"/>
        <v>2029</v>
      </c>
      <c r="R14" s="34">
        <f t="shared" si="1"/>
        <v>15267.298500000001</v>
      </c>
      <c r="S14" s="34">
        <f t="shared" si="11"/>
        <v>6785.4660000000003</v>
      </c>
      <c r="T14" s="34">
        <f t="shared" si="12"/>
        <v>25445.497500000001</v>
      </c>
      <c r="U14" s="34">
        <f t="shared" si="13"/>
        <v>8481.8325000000004</v>
      </c>
    </row>
    <row r="15" spans="2:21" ht="14.45" x14ac:dyDescent="0.3">
      <c r="C15" s="186"/>
      <c r="D15" s="186"/>
      <c r="E15" s="187"/>
      <c r="F15" s="187"/>
      <c r="G15" s="40"/>
      <c r="J15" s="27">
        <f t="shared" ref="J15:J19" si="15">IF(J14="","",IF(J14+1&gt;D$14+1,"",J14+1))</f>
        <v>2</v>
      </c>
      <c r="K15" s="27">
        <f>IF(J15="","",K14+1)</f>
        <v>2027</v>
      </c>
      <c r="L15" s="34">
        <f t="shared" ref="L15:L19" si="16">IF(J15="","",L14-M14)</f>
        <v>28838.230500000001</v>
      </c>
      <c r="M15" s="34">
        <f>IF(J15="","",IF(J15=D$14+1,(C$14/D$14)*(I$14/360),C$14/D$14))</f>
        <v>6785.4660000000003</v>
      </c>
      <c r="N15" s="34">
        <f t="shared" ref="N15:N19" si="17">IF(J15="","",N14+M15)</f>
        <v>11874.565500000001</v>
      </c>
      <c r="O15" s="34">
        <f t="shared" si="14"/>
        <v>22052.764500000001</v>
      </c>
      <c r="P15" s="25"/>
      <c r="Q15" s="27">
        <f t="shared" si="10"/>
        <v>2030</v>
      </c>
      <c r="R15" s="34">
        <f t="shared" si="1"/>
        <v>8481.8325000000004</v>
      </c>
      <c r="S15" s="34">
        <f t="shared" si="11"/>
        <v>6785.4660000000003</v>
      </c>
      <c r="T15" s="34">
        <f t="shared" si="12"/>
        <v>32230.963500000002</v>
      </c>
      <c r="U15" s="34">
        <f t="shared" si="13"/>
        <v>1696.3665000000001</v>
      </c>
    </row>
    <row r="16" spans="2:21" ht="14.45" x14ac:dyDescent="0.3">
      <c r="J16" s="27">
        <f t="shared" si="15"/>
        <v>3</v>
      </c>
      <c r="K16" s="27">
        <f t="shared" ref="K16:K19" si="18">IF(J16="","",K15+1)</f>
        <v>2028</v>
      </c>
      <c r="L16" s="34">
        <f t="shared" si="16"/>
        <v>22052.764500000001</v>
      </c>
      <c r="M16" s="34">
        <f t="shared" ref="M16:M19" si="19">IF(J16="","",IF(J16=D$14+1,(C$14/D$14)*(I$14/360),C$14/D$14))</f>
        <v>6785.4660000000003</v>
      </c>
      <c r="N16" s="34">
        <f t="shared" si="17"/>
        <v>18660.031500000001</v>
      </c>
      <c r="O16" s="34">
        <f t="shared" si="14"/>
        <v>15267.298500000001</v>
      </c>
      <c r="P16" s="25"/>
    </row>
    <row r="17" spans="2:16" ht="14.45" x14ac:dyDescent="0.3">
      <c r="J17" s="27">
        <f t="shared" si="15"/>
        <v>4</v>
      </c>
      <c r="K17" s="27">
        <f t="shared" si="18"/>
        <v>2029</v>
      </c>
      <c r="L17" s="34">
        <f t="shared" si="16"/>
        <v>15267.298500000001</v>
      </c>
      <c r="M17" s="34">
        <f t="shared" si="19"/>
        <v>6785.4660000000003</v>
      </c>
      <c r="N17" s="34">
        <f t="shared" si="17"/>
        <v>25445.497500000001</v>
      </c>
      <c r="O17" s="34">
        <f t="shared" si="14"/>
        <v>8481.8325000000004</v>
      </c>
      <c r="P17" s="25"/>
    </row>
    <row r="18" spans="2:16" ht="14.45" x14ac:dyDescent="0.3">
      <c r="J18" s="27">
        <f t="shared" si="15"/>
        <v>5</v>
      </c>
      <c r="K18" s="27">
        <f t="shared" si="18"/>
        <v>2030</v>
      </c>
      <c r="L18" s="34">
        <f t="shared" si="16"/>
        <v>8481.8325000000004</v>
      </c>
      <c r="M18" s="34">
        <f t="shared" si="19"/>
        <v>6785.4660000000003</v>
      </c>
      <c r="N18" s="34">
        <f t="shared" si="17"/>
        <v>32230.963500000002</v>
      </c>
      <c r="O18" s="34">
        <f t="shared" si="14"/>
        <v>1696.3665000000001</v>
      </c>
      <c r="P18" s="25"/>
    </row>
    <row r="19" spans="2:16" ht="14.45" x14ac:dyDescent="0.3">
      <c r="J19" s="27">
        <f t="shared" si="15"/>
        <v>6</v>
      </c>
      <c r="K19" s="27">
        <f t="shared" si="18"/>
        <v>2031</v>
      </c>
      <c r="L19" s="34">
        <f t="shared" si="16"/>
        <v>1696.3665000000001</v>
      </c>
      <c r="M19" s="34">
        <f t="shared" si="19"/>
        <v>1696.3665000000001</v>
      </c>
      <c r="N19" s="34">
        <f t="shared" si="17"/>
        <v>33927.33</v>
      </c>
      <c r="O19" s="34">
        <f t="shared" si="14"/>
        <v>0</v>
      </c>
      <c r="P19" s="25"/>
    </row>
    <row r="21" spans="2:16" ht="14.45" x14ac:dyDescent="0.3">
      <c r="B21" s="27">
        <f>B14+1</f>
        <v>3</v>
      </c>
      <c r="C21" s="28"/>
      <c r="D21" s="29"/>
      <c r="E21" s="37"/>
      <c r="F21" s="37"/>
      <c r="G21" s="39">
        <f>YEAR(F21)</f>
        <v>1900</v>
      </c>
      <c r="H21" s="27" t="str">
        <f>IF(OR(E21="",F21=""),"",(360-(E21-F21)))</f>
        <v/>
      </c>
      <c r="I21" s="27" t="str">
        <f>IF(OR(E21="",F21=""),"",360-H21)</f>
        <v/>
      </c>
      <c r="J21" s="27" t="str">
        <f>IF(OR(D21="",C21="",H21=""),"",1)</f>
        <v/>
      </c>
      <c r="K21" s="27">
        <f>IF(G21="","",G21)</f>
        <v>1900</v>
      </c>
      <c r="L21" s="34" t="str">
        <f>IF(C21="","",C21)</f>
        <v/>
      </c>
      <c r="M21" s="34" t="str">
        <f>IF(OR(J21="",H21=""),"",(C$21/D$21)*H21/360)</f>
        <v/>
      </c>
      <c r="N21" s="34" t="str">
        <f>M21</f>
        <v/>
      </c>
      <c r="O21" s="34" t="str">
        <f t="shared" ref="O21:O26" si="20">IF(J21="","",L21-M21)</f>
        <v/>
      </c>
      <c r="P21" s="25"/>
    </row>
    <row r="22" spans="2:16" ht="14.45" x14ac:dyDescent="0.3">
      <c r="C22" s="186"/>
      <c r="D22" s="186"/>
      <c r="E22" s="187"/>
      <c r="F22" s="187"/>
      <c r="G22" s="40"/>
      <c r="J22" s="27" t="str">
        <f t="shared" ref="J22:J26" si="21">IF(J21="","",IF(J21+1&gt;D$21+1,"",J21+1))</f>
        <v/>
      </c>
      <c r="K22" s="27" t="str">
        <f>IF(J22="","",K21+1)</f>
        <v/>
      </c>
      <c r="L22" s="34" t="str">
        <f t="shared" ref="L22:L26" si="22">IF(J22="","",L21-M21)</f>
        <v/>
      </c>
      <c r="M22" s="34" t="str">
        <f>IF(J22="","",IF(J22=D$21+1,(C$21/D$21)*(I$21/360),C$21/D$21))</f>
        <v/>
      </c>
      <c r="N22" s="34" t="str">
        <f t="shared" ref="N22:N26" si="23">IF(J22="","",N21+M22)</f>
        <v/>
      </c>
      <c r="O22" s="34" t="str">
        <f t="shared" si="20"/>
        <v/>
      </c>
      <c r="P22" s="25"/>
    </row>
    <row r="23" spans="2:16" ht="14.45" x14ac:dyDescent="0.3">
      <c r="J23" s="27" t="str">
        <f t="shared" si="21"/>
        <v/>
      </c>
      <c r="K23" s="27" t="str">
        <f t="shared" ref="K23:K26" si="24">IF(J23="","",K22+1)</f>
        <v/>
      </c>
      <c r="L23" s="34" t="str">
        <f t="shared" si="22"/>
        <v/>
      </c>
      <c r="M23" s="34" t="str">
        <f>IF(J23="","",IF(J23=D$21+1,(C$21/D$21)*(I$21/360),C$21/D$21))</f>
        <v/>
      </c>
      <c r="N23" s="34" t="str">
        <f t="shared" si="23"/>
        <v/>
      </c>
      <c r="O23" s="34" t="str">
        <f t="shared" si="20"/>
        <v/>
      </c>
      <c r="P23" s="25"/>
    </row>
    <row r="24" spans="2:16" ht="14.45" x14ac:dyDescent="0.3">
      <c r="J24" s="27" t="str">
        <f t="shared" si="21"/>
        <v/>
      </c>
      <c r="K24" s="27" t="str">
        <f t="shared" si="24"/>
        <v/>
      </c>
      <c r="L24" s="34" t="str">
        <f t="shared" si="22"/>
        <v/>
      </c>
      <c r="M24" s="34" t="str">
        <f>IF(J24="","",IF(J24=D$21+1,(C$21/D$21)*(I$21/360),C$21/D$21))</f>
        <v/>
      </c>
      <c r="N24" s="34" t="str">
        <f t="shared" si="23"/>
        <v/>
      </c>
      <c r="O24" s="34" t="str">
        <f t="shared" si="20"/>
        <v/>
      </c>
      <c r="P24" s="25"/>
    </row>
    <row r="25" spans="2:16" ht="14.45" x14ac:dyDescent="0.3">
      <c r="J25" s="27" t="str">
        <f t="shared" si="21"/>
        <v/>
      </c>
      <c r="K25" s="27" t="str">
        <f t="shared" si="24"/>
        <v/>
      </c>
      <c r="L25" s="34" t="str">
        <f t="shared" si="22"/>
        <v/>
      </c>
      <c r="M25" s="34" t="str">
        <f>IF(J25="","",IF(J25=D$21+1,(C$21/D$21)*(I$21/360),C$21/D$21))</f>
        <v/>
      </c>
      <c r="N25" s="34" t="str">
        <f t="shared" si="23"/>
        <v/>
      </c>
      <c r="O25" s="34" t="str">
        <f t="shared" si="20"/>
        <v/>
      </c>
      <c r="P25" s="25"/>
    </row>
    <row r="26" spans="2:16" ht="14.45" x14ac:dyDescent="0.3">
      <c r="J26" s="27" t="str">
        <f t="shared" si="21"/>
        <v/>
      </c>
      <c r="K26" s="27" t="str">
        <f t="shared" si="24"/>
        <v/>
      </c>
      <c r="L26" s="34" t="str">
        <f t="shared" si="22"/>
        <v/>
      </c>
      <c r="M26" s="34" t="str">
        <f>IF(J26="","",IF(J26=D$21+1,(C$21/D$21)*(I$21/360),C$21/D$21))</f>
        <v/>
      </c>
      <c r="N26" s="34" t="str">
        <f t="shared" si="23"/>
        <v/>
      </c>
      <c r="O26" s="34" t="str">
        <f t="shared" si="20"/>
        <v/>
      </c>
      <c r="P26" s="25"/>
    </row>
    <row r="28" spans="2:16" ht="14.45" x14ac:dyDescent="0.3">
      <c r="B28" s="27">
        <f>B21+1</f>
        <v>4</v>
      </c>
      <c r="C28" s="28"/>
      <c r="D28" s="29"/>
      <c r="E28" s="37"/>
      <c r="F28" s="37"/>
      <c r="G28" s="39">
        <f>YEAR(F28)</f>
        <v>1900</v>
      </c>
      <c r="H28" s="27" t="str">
        <f>IF(OR(E28="",F28=""),"",(360-(E28-F28)))</f>
        <v/>
      </c>
      <c r="I28" s="27" t="str">
        <f>IF(OR(E28="",F28=""),"",360-H28)</f>
        <v/>
      </c>
      <c r="J28" s="27" t="str">
        <f>IF(OR(D28="",C28="",H28=""),"",1)</f>
        <v/>
      </c>
      <c r="K28" s="27">
        <f>IF(G28="","",G28)</f>
        <v>1900</v>
      </c>
      <c r="L28" s="34" t="str">
        <f>IF(C28="","",C28)</f>
        <v/>
      </c>
      <c r="M28" s="34" t="str">
        <f>IF(OR(J28="",H28=""),"",(C$28/D$28)*H28/360)</f>
        <v/>
      </c>
      <c r="N28" s="34" t="str">
        <f>M28</f>
        <v/>
      </c>
      <c r="O28" s="34" t="str">
        <f t="shared" ref="O28:O33" si="25">IF(J28="","",L28-M28)</f>
        <v/>
      </c>
      <c r="P28" s="25"/>
    </row>
    <row r="29" spans="2:16" ht="14.45" x14ac:dyDescent="0.3">
      <c r="C29" s="186"/>
      <c r="D29" s="186"/>
      <c r="E29" s="187"/>
      <c r="F29" s="187"/>
      <c r="G29" s="40"/>
      <c r="J29" s="27" t="str">
        <f>IF(J28="","",IF(J28+1&gt;D$28+1,"",J28+1))</f>
        <v/>
      </c>
      <c r="K29" s="27" t="str">
        <f>IF(J29="","",K28+1)</f>
        <v/>
      </c>
      <c r="L29" s="34" t="str">
        <f t="shared" ref="L29:L33" si="26">IF(J29="","",L28-M28)</f>
        <v/>
      </c>
      <c r="M29" s="34" t="str">
        <f>IF(J29="","",IF(J29=D$28+1,(C$28/D$28)*(I$28/360),C$28/D$28))</f>
        <v/>
      </c>
      <c r="N29" s="34" t="str">
        <f t="shared" ref="N29:N33" si="27">IF(J29="","",N28+M29)</f>
        <v/>
      </c>
      <c r="O29" s="34" t="str">
        <f t="shared" si="25"/>
        <v/>
      </c>
      <c r="P29" s="25"/>
    </row>
    <row r="30" spans="2:16" ht="14.45" x14ac:dyDescent="0.3">
      <c r="J30" s="27" t="str">
        <f t="shared" ref="J30:J33" si="28">IF(J29="","",IF(J29+1&gt;D$28+1,"",J29+1))</f>
        <v/>
      </c>
      <c r="K30" s="27" t="str">
        <f t="shared" ref="K30:K33" si="29">IF(J30="","",K29+1)</f>
        <v/>
      </c>
      <c r="L30" s="34" t="str">
        <f t="shared" si="26"/>
        <v/>
      </c>
      <c r="M30" s="34" t="str">
        <f>IF(J30="","",IF(J30=D$28+1,(C$28/D$28)*(I$28/360),C$28/D$28))</f>
        <v/>
      </c>
      <c r="N30" s="34" t="str">
        <f t="shared" si="27"/>
        <v/>
      </c>
      <c r="O30" s="34" t="str">
        <f t="shared" si="25"/>
        <v/>
      </c>
      <c r="P30" s="25"/>
    </row>
    <row r="31" spans="2:16" ht="14.45" x14ac:dyDescent="0.3">
      <c r="J31" s="27" t="str">
        <f t="shared" si="28"/>
        <v/>
      </c>
      <c r="K31" s="27" t="str">
        <f t="shared" si="29"/>
        <v/>
      </c>
      <c r="L31" s="34" t="str">
        <f t="shared" si="26"/>
        <v/>
      </c>
      <c r="M31" s="34" t="str">
        <f>IF(J31="","",IF(J31=D$28+1,(C$28/D$28)*(I$28/360),C$28/D$28))</f>
        <v/>
      </c>
      <c r="N31" s="34" t="str">
        <f t="shared" si="27"/>
        <v/>
      </c>
      <c r="O31" s="34" t="str">
        <f t="shared" si="25"/>
        <v/>
      </c>
      <c r="P31" s="25"/>
    </row>
    <row r="32" spans="2:16" ht="14.45" x14ac:dyDescent="0.3">
      <c r="J32" s="27" t="str">
        <f t="shared" si="28"/>
        <v/>
      </c>
      <c r="K32" s="27" t="str">
        <f t="shared" si="29"/>
        <v/>
      </c>
      <c r="L32" s="34" t="str">
        <f t="shared" si="26"/>
        <v/>
      </c>
      <c r="M32" s="34" t="str">
        <f>IF(J32="","",IF(J32=D$28+1,(C$28/D$28)*(I$28/360),C$28/D$28))</f>
        <v/>
      </c>
      <c r="N32" s="34" t="str">
        <f t="shared" si="27"/>
        <v/>
      </c>
      <c r="O32" s="34" t="str">
        <f t="shared" si="25"/>
        <v/>
      </c>
      <c r="P32" s="25"/>
    </row>
    <row r="33" spans="2:16" ht="14.45" x14ac:dyDescent="0.3">
      <c r="J33" s="27" t="str">
        <f t="shared" si="28"/>
        <v/>
      </c>
      <c r="K33" s="27" t="str">
        <f t="shared" si="29"/>
        <v/>
      </c>
      <c r="L33" s="34" t="str">
        <f t="shared" si="26"/>
        <v/>
      </c>
      <c r="M33" s="34" t="str">
        <f>IF(J33="","",IF(J33=D$28+1,(C$28/D$28)*(I$28/360),C$28/D$28))</f>
        <v/>
      </c>
      <c r="N33" s="34" t="str">
        <f t="shared" si="27"/>
        <v/>
      </c>
      <c r="O33" s="34" t="str">
        <f t="shared" si="25"/>
        <v/>
      </c>
      <c r="P33" s="25"/>
    </row>
    <row r="35" spans="2:16" x14ac:dyDescent="0.25">
      <c r="B35" s="27">
        <f>B28+1</f>
        <v>5</v>
      </c>
      <c r="C35" s="28"/>
      <c r="D35" s="29"/>
      <c r="E35" s="37"/>
      <c r="F35" s="37"/>
      <c r="G35" s="39">
        <f>YEAR(F35)</f>
        <v>1900</v>
      </c>
      <c r="H35" s="27" t="str">
        <f>IF(OR(E35="",F35=""),"",(360-(E35-F35)))</f>
        <v/>
      </c>
      <c r="I35" s="27" t="str">
        <f>IF(OR(E35="",F35=""),"",360-H35)</f>
        <v/>
      </c>
      <c r="J35" s="27" t="str">
        <f>IF(OR(D35="",C35="",H35=""),"",1)</f>
        <v/>
      </c>
      <c r="K35" s="27">
        <f>IF(G35="","",G35)</f>
        <v>1900</v>
      </c>
      <c r="L35" s="34" t="str">
        <f>IF(C35="","",C35)</f>
        <v/>
      </c>
      <c r="M35" s="34" t="str">
        <f>IF(OR(J35="",H35=""),"",(C$35/D$35)*H35/360)</f>
        <v/>
      </c>
      <c r="N35" s="34" t="str">
        <f>M35</f>
        <v/>
      </c>
      <c r="O35" s="34" t="str">
        <f t="shared" ref="O35:O40" si="30">IF(J35="","",L35-M35)</f>
        <v/>
      </c>
      <c r="P35" s="25"/>
    </row>
    <row r="36" spans="2:16" x14ac:dyDescent="0.25">
      <c r="C36" s="186"/>
      <c r="D36" s="186"/>
      <c r="E36" s="187"/>
      <c r="F36" s="187"/>
      <c r="G36" s="40"/>
      <c r="J36" s="27" t="str">
        <f>IF(J35="","",IF(J35+1&gt;D$35+1,"",J35+1))</f>
        <v/>
      </c>
      <c r="K36" s="27" t="str">
        <f>IF(J36="","",K35+1)</f>
        <v/>
      </c>
      <c r="L36" s="34" t="str">
        <f t="shared" ref="L36:L40" si="31">IF(J36="","",L35-M35)</f>
        <v/>
      </c>
      <c r="M36" s="34" t="str">
        <f>IF(J36="","",IF(J36=D$35+1,(C$35/D$35)*(I$35/360),C$35/D$7))</f>
        <v/>
      </c>
      <c r="N36" s="34" t="str">
        <f t="shared" ref="N36:N40" si="32">IF(J36="","",N35+M36)</f>
        <v/>
      </c>
      <c r="O36" s="34" t="str">
        <f t="shared" si="30"/>
        <v/>
      </c>
      <c r="P36" s="25"/>
    </row>
    <row r="37" spans="2:16" x14ac:dyDescent="0.25">
      <c r="J37" s="27" t="str">
        <f t="shared" ref="J37:J40" si="33">IF(J36="","",IF(J36+1&gt;D$35+1,"",J36+1))</f>
        <v/>
      </c>
      <c r="K37" s="27" t="str">
        <f t="shared" ref="K37:K40" si="34">IF(J37="","",K36+1)</f>
        <v/>
      </c>
      <c r="L37" s="34" t="str">
        <f t="shared" si="31"/>
        <v/>
      </c>
      <c r="M37" s="34" t="str">
        <f>IF(J37="","",IF(J37=D$35+1,(C$35/D$35)*(I$35/360),C$35/D$7))</f>
        <v/>
      </c>
      <c r="N37" s="34" t="str">
        <f t="shared" si="32"/>
        <v/>
      </c>
      <c r="O37" s="34" t="str">
        <f t="shared" si="30"/>
        <v/>
      </c>
      <c r="P37" s="25"/>
    </row>
    <row r="38" spans="2:16" x14ac:dyDescent="0.25">
      <c r="J38" s="27" t="str">
        <f t="shared" si="33"/>
        <v/>
      </c>
      <c r="K38" s="27" t="str">
        <f t="shared" si="34"/>
        <v/>
      </c>
      <c r="L38" s="34" t="str">
        <f t="shared" si="31"/>
        <v/>
      </c>
      <c r="M38" s="34" t="str">
        <f>IF(J38="","",IF(J38=D$35+1,(C$35/D$35)*(I$35/360),C$35/D$7))</f>
        <v/>
      </c>
      <c r="N38" s="34" t="str">
        <f t="shared" si="32"/>
        <v/>
      </c>
      <c r="O38" s="34" t="str">
        <f t="shared" si="30"/>
        <v/>
      </c>
      <c r="P38" s="25"/>
    </row>
    <row r="39" spans="2:16" x14ac:dyDescent="0.25">
      <c r="J39" s="27" t="str">
        <f t="shared" si="33"/>
        <v/>
      </c>
      <c r="K39" s="27" t="str">
        <f t="shared" si="34"/>
        <v/>
      </c>
      <c r="L39" s="34" t="str">
        <f t="shared" si="31"/>
        <v/>
      </c>
      <c r="M39" s="34" t="str">
        <f>IF(J39="","",IF(J39=D$35+1,(C$35/D$35)*(I$35/360),C$35/D$7))</f>
        <v/>
      </c>
      <c r="N39" s="34" t="str">
        <f t="shared" si="32"/>
        <v/>
      </c>
      <c r="O39" s="34" t="str">
        <f t="shared" si="30"/>
        <v/>
      </c>
      <c r="P39" s="25"/>
    </row>
    <row r="40" spans="2:16" x14ac:dyDescent="0.25">
      <c r="J40" s="27" t="str">
        <f t="shared" si="33"/>
        <v/>
      </c>
      <c r="K40" s="27" t="str">
        <f t="shared" si="34"/>
        <v/>
      </c>
      <c r="L40" s="34" t="str">
        <f t="shared" si="31"/>
        <v/>
      </c>
      <c r="M40" s="34" t="str">
        <f>IF(J40="","",IF(J40=D$35+1,(C$35/D$35)*(I$35/360),C$35/D$7))</f>
        <v/>
      </c>
      <c r="N40" s="34" t="str">
        <f t="shared" si="32"/>
        <v/>
      </c>
      <c r="O40" s="34" t="str">
        <f t="shared" si="30"/>
        <v/>
      </c>
      <c r="P40" s="25"/>
    </row>
    <row r="42" spans="2:16" x14ac:dyDescent="0.25">
      <c r="B42" s="27">
        <f>B35+1</f>
        <v>6</v>
      </c>
      <c r="C42" s="28"/>
      <c r="D42" s="29"/>
      <c r="E42" s="37"/>
      <c r="F42" s="37"/>
      <c r="G42" s="39">
        <f>YEAR(F42)</f>
        <v>1900</v>
      </c>
      <c r="H42" s="27" t="str">
        <f>IF(OR(E42="",F42=""),"",(360-(E42-F42)))</f>
        <v/>
      </c>
      <c r="I42" s="27" t="str">
        <f>IF(OR(E42="",F42=""),"",360-H42)</f>
        <v/>
      </c>
      <c r="J42" s="27" t="str">
        <f>IF(OR(D42="",C42="",H42=""),"",1)</f>
        <v/>
      </c>
      <c r="K42" s="27">
        <f>IF(G42="","",G42)</f>
        <v>1900</v>
      </c>
      <c r="L42" s="34" t="str">
        <f>IF(C42="","",C42)</f>
        <v/>
      </c>
      <c r="M42" s="34" t="str">
        <f>IF(OR(J42="",H42=""),"",(C$42/D$42)*H42/360)</f>
        <v/>
      </c>
      <c r="N42" s="34" t="str">
        <f>M42</f>
        <v/>
      </c>
      <c r="O42" s="34" t="str">
        <f t="shared" ref="O42:O47" si="35">IF(J42="","",L42-M42)</f>
        <v/>
      </c>
      <c r="P42" s="25"/>
    </row>
    <row r="43" spans="2:16" x14ac:dyDescent="0.25">
      <c r="C43" s="186"/>
      <c r="D43" s="186"/>
      <c r="E43" s="187"/>
      <c r="F43" s="187"/>
      <c r="G43" s="40"/>
      <c r="J43" s="27" t="str">
        <f>IF(J42="","",IF(J42+1&gt;D$42+1,"",J42+1))</f>
        <v/>
      </c>
      <c r="K43" s="27" t="str">
        <f>IF(J43="","",K42+1)</f>
        <v/>
      </c>
      <c r="L43" s="34" t="str">
        <f t="shared" ref="L43:L47" si="36">IF(J43="","",L42-M42)</f>
        <v/>
      </c>
      <c r="M43" s="34" t="str">
        <f>IF(J43="","",IF(J43=D$42+1,(C$42/D$42)*(I$42/360),C$42/D$42))</f>
        <v/>
      </c>
      <c r="N43" s="34" t="str">
        <f t="shared" ref="N43:N47" si="37">IF(J43="","",N42+M43)</f>
        <v/>
      </c>
      <c r="O43" s="34" t="str">
        <f t="shared" si="35"/>
        <v/>
      </c>
      <c r="P43" s="25"/>
    </row>
    <row r="44" spans="2:16" x14ac:dyDescent="0.25">
      <c r="J44" s="27" t="str">
        <f t="shared" ref="J44:J47" si="38">IF(J43="","",IF(J43+1&gt;D$42+1,"",J43+1))</f>
        <v/>
      </c>
      <c r="K44" s="27" t="str">
        <f t="shared" ref="K44:K47" si="39">IF(J44="","",K43+1)</f>
        <v/>
      </c>
      <c r="L44" s="34" t="str">
        <f t="shared" si="36"/>
        <v/>
      </c>
      <c r="M44" s="34" t="str">
        <f>IF(J44="","",IF(J44=D$42+1,(C$42/D$42)*(I$42/360),C$42/D$42))</f>
        <v/>
      </c>
      <c r="N44" s="34" t="str">
        <f t="shared" si="37"/>
        <v/>
      </c>
      <c r="O44" s="34" t="str">
        <f t="shared" si="35"/>
        <v/>
      </c>
      <c r="P44" s="25"/>
    </row>
    <row r="45" spans="2:16" x14ac:dyDescent="0.25">
      <c r="J45" s="27" t="str">
        <f t="shared" si="38"/>
        <v/>
      </c>
      <c r="K45" s="27" t="str">
        <f t="shared" si="39"/>
        <v/>
      </c>
      <c r="L45" s="34" t="str">
        <f t="shared" si="36"/>
        <v/>
      </c>
      <c r="M45" s="34" t="str">
        <f>IF(J45="","",IF(J45=D$42+1,(C$42/D$42)*(I$42/360),C$42/D$42))</f>
        <v/>
      </c>
      <c r="N45" s="34" t="str">
        <f t="shared" si="37"/>
        <v/>
      </c>
      <c r="O45" s="34" t="str">
        <f t="shared" si="35"/>
        <v/>
      </c>
      <c r="P45" s="25"/>
    </row>
    <row r="46" spans="2:16" x14ac:dyDescent="0.25">
      <c r="J46" s="27" t="str">
        <f t="shared" si="38"/>
        <v/>
      </c>
      <c r="K46" s="27" t="str">
        <f t="shared" si="39"/>
        <v/>
      </c>
      <c r="L46" s="34" t="str">
        <f t="shared" si="36"/>
        <v/>
      </c>
      <c r="M46" s="34" t="str">
        <f>IF(J46="","",IF(J46=D$42+1,(C$42/D$42)*(I$42/360),C$42/D$42))</f>
        <v/>
      </c>
      <c r="N46" s="34" t="str">
        <f t="shared" si="37"/>
        <v/>
      </c>
      <c r="O46" s="34" t="str">
        <f t="shared" si="35"/>
        <v/>
      </c>
      <c r="P46" s="25"/>
    </row>
    <row r="47" spans="2:16" x14ac:dyDescent="0.25">
      <c r="J47" s="27" t="str">
        <f t="shared" si="38"/>
        <v/>
      </c>
      <c r="K47" s="27" t="str">
        <f t="shared" si="39"/>
        <v/>
      </c>
      <c r="L47" s="34" t="str">
        <f t="shared" si="36"/>
        <v/>
      </c>
      <c r="M47" s="34" t="str">
        <f>IF(J47="","",IF(J47=D$42+1,(C$42/D$42)*(I$42/360),C$42/D$42))</f>
        <v/>
      </c>
      <c r="N47" s="34" t="str">
        <f t="shared" si="37"/>
        <v/>
      </c>
      <c r="O47" s="34" t="str">
        <f t="shared" si="35"/>
        <v/>
      </c>
      <c r="P47" s="25"/>
    </row>
    <row r="49" spans="2:16" x14ac:dyDescent="0.25">
      <c r="B49" s="27">
        <f>B42+1</f>
        <v>7</v>
      </c>
      <c r="C49" s="28"/>
      <c r="D49" s="29"/>
      <c r="E49" s="37"/>
      <c r="F49" s="37"/>
      <c r="G49" s="39">
        <f>YEAR(F49)</f>
        <v>1900</v>
      </c>
      <c r="H49" s="27" t="str">
        <f>IF(OR(E49="",F49=""),"",(360-(E49-F49)))</f>
        <v/>
      </c>
      <c r="I49" s="27" t="str">
        <f>IF(OR(E49="",F49=""),"",360-H49)</f>
        <v/>
      </c>
      <c r="J49" s="27" t="str">
        <f>IF(OR(D49="",C49="",H49=""),"",1)</f>
        <v/>
      </c>
      <c r="K49" s="27">
        <f>IF(G49="","",G49)</f>
        <v>1900</v>
      </c>
      <c r="L49" s="34" t="str">
        <f>IF(C49="","",C49)</f>
        <v/>
      </c>
      <c r="M49" s="34" t="str">
        <f>IF(OR(J49="",H49=""),"",(C$49/D$49)*H49/360)</f>
        <v/>
      </c>
      <c r="N49" s="34" t="str">
        <f>M49</f>
        <v/>
      </c>
      <c r="O49" s="34" t="str">
        <f t="shared" ref="O49:O54" si="40">IF(J49="","",L49-M49)</f>
        <v/>
      </c>
      <c r="P49" s="25"/>
    </row>
    <row r="50" spans="2:16" x14ac:dyDescent="0.25">
      <c r="C50" s="186"/>
      <c r="D50" s="186"/>
      <c r="E50" s="187"/>
      <c r="F50" s="187"/>
      <c r="G50" s="40"/>
      <c r="J50" s="27" t="str">
        <f>IF(J49="","",IF(J49+1&gt;D$49+1,"",J49+1))</f>
        <v/>
      </c>
      <c r="K50" s="27" t="str">
        <f>IF(J50="","",K49+1)</f>
        <v/>
      </c>
      <c r="L50" s="34" t="str">
        <f t="shared" ref="L50:L54" si="41">IF(J50="","",L49-M49)</f>
        <v/>
      </c>
      <c r="M50" s="34" t="str">
        <f>IF(J50="","",IF(J50=D$49+1,(C$49/D$49)*(I$49/360),C$49/D$49))</f>
        <v/>
      </c>
      <c r="N50" s="34" t="str">
        <f t="shared" ref="N50:N54" si="42">IF(J50="","",N49+M50)</f>
        <v/>
      </c>
      <c r="O50" s="34" t="str">
        <f t="shared" si="40"/>
        <v/>
      </c>
      <c r="P50" s="25"/>
    </row>
    <row r="51" spans="2:16" x14ac:dyDescent="0.25">
      <c r="J51" s="27" t="str">
        <f t="shared" ref="J51:J54" si="43">IF(J50="","",IF(J50+1&gt;D$49+1,"",J50+1))</f>
        <v/>
      </c>
      <c r="K51" s="27" t="str">
        <f t="shared" ref="K51:K54" si="44">IF(J51="","",K50+1)</f>
        <v/>
      </c>
      <c r="L51" s="34" t="str">
        <f t="shared" si="41"/>
        <v/>
      </c>
      <c r="M51" s="34" t="str">
        <f>IF(J51="","",IF(J51=D$49+1,(C$49/D$49)*(I$49/360),C$49/D$49))</f>
        <v/>
      </c>
      <c r="N51" s="34" t="str">
        <f t="shared" si="42"/>
        <v/>
      </c>
      <c r="O51" s="34" t="str">
        <f t="shared" si="40"/>
        <v/>
      </c>
      <c r="P51" s="25"/>
    </row>
    <row r="52" spans="2:16" x14ac:dyDescent="0.25">
      <c r="J52" s="27" t="str">
        <f t="shared" si="43"/>
        <v/>
      </c>
      <c r="K52" s="27" t="str">
        <f t="shared" si="44"/>
        <v/>
      </c>
      <c r="L52" s="34" t="str">
        <f t="shared" si="41"/>
        <v/>
      </c>
      <c r="M52" s="34" t="str">
        <f>IF(J52="","",IF(J52=D$49+1,(C$49/D$49)*(I$49/360),C$49/D$49))</f>
        <v/>
      </c>
      <c r="N52" s="34" t="str">
        <f t="shared" si="42"/>
        <v/>
      </c>
      <c r="O52" s="34" t="str">
        <f t="shared" si="40"/>
        <v/>
      </c>
      <c r="P52" s="25"/>
    </row>
    <row r="53" spans="2:16" x14ac:dyDescent="0.25">
      <c r="J53" s="27" t="str">
        <f t="shared" si="43"/>
        <v/>
      </c>
      <c r="K53" s="27" t="str">
        <f t="shared" si="44"/>
        <v/>
      </c>
      <c r="L53" s="34" t="str">
        <f t="shared" si="41"/>
        <v/>
      </c>
      <c r="M53" s="34" t="str">
        <f>IF(J53="","",IF(J53=D$49+1,(C$49/D$49)*(I$49/360),C$49/D$49))</f>
        <v/>
      </c>
      <c r="N53" s="34" t="str">
        <f t="shared" si="42"/>
        <v/>
      </c>
      <c r="O53" s="34" t="str">
        <f t="shared" si="40"/>
        <v/>
      </c>
      <c r="P53" s="25"/>
    </row>
    <row r="54" spans="2:16" x14ac:dyDescent="0.25">
      <c r="J54" s="27" t="str">
        <f t="shared" si="43"/>
        <v/>
      </c>
      <c r="K54" s="27" t="str">
        <f t="shared" si="44"/>
        <v/>
      </c>
      <c r="L54" s="34" t="str">
        <f t="shared" si="41"/>
        <v/>
      </c>
      <c r="M54" s="34" t="str">
        <f>IF(J54="","",IF(J54=D$49+1,(C$49/D$49)*(I$49/360),C$49/D$49))</f>
        <v/>
      </c>
      <c r="N54" s="34" t="str">
        <f t="shared" si="42"/>
        <v/>
      </c>
      <c r="O54" s="34" t="str">
        <f t="shared" si="40"/>
        <v/>
      </c>
      <c r="P54" s="25"/>
    </row>
    <row r="56" spans="2:16" x14ac:dyDescent="0.25">
      <c r="B56" s="27">
        <f>B49+1</f>
        <v>8</v>
      </c>
      <c r="C56" s="28"/>
      <c r="D56" s="29"/>
      <c r="E56" s="37"/>
      <c r="F56" s="37"/>
      <c r="G56" s="39">
        <f>YEAR(F56)</f>
        <v>1900</v>
      </c>
      <c r="H56" s="27" t="str">
        <f>IF(OR(E56="",F56=""),"",(360-(E56-F56)))</f>
        <v/>
      </c>
      <c r="I56" s="27" t="str">
        <f>IF(OR(E56="",F56=""),"",360-H56)</f>
        <v/>
      </c>
      <c r="J56" s="27" t="str">
        <f>IF(OR(D56="",C56="",H56=""),"",1)</f>
        <v/>
      </c>
      <c r="K56" s="27">
        <f>IF(G56="","",G56)</f>
        <v>1900</v>
      </c>
      <c r="L56" s="34" t="str">
        <f>IF(C56="","",C56)</f>
        <v/>
      </c>
      <c r="M56" s="34" t="str">
        <f>IF(OR(J56="",H56=""),"",(C$56/D$56)*H56/360)</f>
        <v/>
      </c>
      <c r="N56" s="34" t="str">
        <f>M56</f>
        <v/>
      </c>
      <c r="O56" s="34" t="str">
        <f>IF(J56="","",L56-M56)</f>
        <v/>
      </c>
      <c r="P56" s="25"/>
    </row>
    <row r="57" spans="2:16" x14ac:dyDescent="0.25">
      <c r="C57" s="186"/>
      <c r="D57" s="186"/>
      <c r="E57" s="187"/>
      <c r="F57" s="187"/>
      <c r="G57" s="40"/>
      <c r="J57" s="27" t="str">
        <f>IF(J56="","",IF(J56+1&gt;D$56+1,"",J56+1))</f>
        <v/>
      </c>
      <c r="K57" s="27" t="str">
        <f>IF(J57="","",K56+1)</f>
        <v/>
      </c>
      <c r="L57" s="34" t="str">
        <f t="shared" ref="L57:L61" si="45">IF(J57="","",L56-M56)</f>
        <v/>
      </c>
      <c r="M57" s="34" t="str">
        <f>IF(J57="","",IF(J57=D$56+1,(C$56/D$56)*(I$56/360),C$56/D$56))</f>
        <v/>
      </c>
      <c r="N57" s="34" t="str">
        <f t="shared" ref="N57:N61" si="46">IF(J57="","",N56+M57)</f>
        <v/>
      </c>
      <c r="O57" s="34" t="str">
        <f>IF(J57="","",L57-M57)</f>
        <v/>
      </c>
      <c r="P57" s="25"/>
    </row>
    <row r="58" spans="2:16" x14ac:dyDescent="0.25">
      <c r="J58" s="27" t="str">
        <f t="shared" ref="J58:J61" si="47">IF(J57="","",IF(J57+1&gt;D$56+1,"",J57+1))</f>
        <v/>
      </c>
      <c r="K58" s="27" t="str">
        <f t="shared" ref="K58:K61" si="48">IF(J58="","",K57+1)</f>
        <v/>
      </c>
      <c r="L58" s="34" t="str">
        <f t="shared" si="45"/>
        <v/>
      </c>
      <c r="M58" s="34" t="str">
        <f t="shared" ref="M58:M61" si="49">IF(J58="","",IF(J58=D$56+1,(C$56/D$56)*(I$56/360),C$56/D$56))</f>
        <v/>
      </c>
      <c r="N58" s="34" t="str">
        <f t="shared" si="46"/>
        <v/>
      </c>
      <c r="O58" s="34" t="str">
        <f t="shared" ref="O58:O61" si="50">IF(J58="","",L58-M58)</f>
        <v/>
      </c>
      <c r="P58" s="25"/>
    </row>
    <row r="59" spans="2:16" x14ac:dyDescent="0.25">
      <c r="J59" s="27" t="str">
        <f t="shared" si="47"/>
        <v/>
      </c>
      <c r="K59" s="27" t="str">
        <f t="shared" si="48"/>
        <v/>
      </c>
      <c r="L59" s="34" t="str">
        <f t="shared" si="45"/>
        <v/>
      </c>
      <c r="M59" s="34" t="str">
        <f t="shared" si="49"/>
        <v/>
      </c>
      <c r="N59" s="34" t="str">
        <f t="shared" si="46"/>
        <v/>
      </c>
      <c r="O59" s="34" t="str">
        <f t="shared" si="50"/>
        <v/>
      </c>
      <c r="P59" s="25"/>
    </row>
    <row r="60" spans="2:16" x14ac:dyDescent="0.25">
      <c r="J60" s="27" t="str">
        <f t="shared" si="47"/>
        <v/>
      </c>
      <c r="K60" s="27" t="str">
        <f t="shared" si="48"/>
        <v/>
      </c>
      <c r="L60" s="34" t="str">
        <f t="shared" si="45"/>
        <v/>
      </c>
      <c r="M60" s="34" t="str">
        <f t="shared" si="49"/>
        <v/>
      </c>
      <c r="N60" s="34" t="str">
        <f t="shared" si="46"/>
        <v/>
      </c>
      <c r="O60" s="34" t="str">
        <f t="shared" si="50"/>
        <v/>
      </c>
      <c r="P60" s="25"/>
    </row>
    <row r="61" spans="2:16" x14ac:dyDescent="0.25">
      <c r="J61" s="27" t="str">
        <f t="shared" si="47"/>
        <v/>
      </c>
      <c r="K61" s="27" t="str">
        <f t="shared" si="48"/>
        <v/>
      </c>
      <c r="L61" s="34" t="str">
        <f t="shared" si="45"/>
        <v/>
      </c>
      <c r="M61" s="34" t="str">
        <f t="shared" si="49"/>
        <v/>
      </c>
      <c r="N61" s="34" t="str">
        <f t="shared" si="46"/>
        <v/>
      </c>
      <c r="O61" s="34" t="str">
        <f t="shared" si="50"/>
        <v/>
      </c>
      <c r="P61" s="25"/>
    </row>
  </sheetData>
  <mergeCells count="20">
    <mergeCell ref="C2:F2"/>
    <mergeCell ref="J2:O2"/>
    <mergeCell ref="Q2:U2"/>
    <mergeCell ref="C4:E4"/>
    <mergeCell ref="C8:D8"/>
    <mergeCell ref="E8:F8"/>
    <mergeCell ref="C15:D15"/>
    <mergeCell ref="E15:F15"/>
    <mergeCell ref="C22:D22"/>
    <mergeCell ref="E22:F22"/>
    <mergeCell ref="C29:D29"/>
    <mergeCell ref="E29:F29"/>
    <mergeCell ref="C57:D57"/>
    <mergeCell ref="E57:F57"/>
    <mergeCell ref="C36:D36"/>
    <mergeCell ref="E36:F36"/>
    <mergeCell ref="C43:D43"/>
    <mergeCell ref="E43:F43"/>
    <mergeCell ref="C50:D50"/>
    <mergeCell ref="E50:F50"/>
  </mergeCells>
  <conditionalFormatting sqref="J7:O7">
    <cfRule type="expression" dxfId="167" priority="65">
      <formula>$I$2=$K$7</formula>
    </cfRule>
  </conditionalFormatting>
  <conditionalFormatting sqref="J8:O8">
    <cfRule type="expression" dxfId="166" priority="66">
      <formula>$I$2=$K$8</formula>
    </cfRule>
  </conditionalFormatting>
  <conditionalFormatting sqref="J9:O9">
    <cfRule type="expression" dxfId="165" priority="67">
      <formula>$I$2=$K$9</formula>
    </cfRule>
  </conditionalFormatting>
  <conditionalFormatting sqref="J10:O10">
    <cfRule type="expression" dxfId="164" priority="68">
      <formula>$I$2=$K$10</formula>
    </cfRule>
  </conditionalFormatting>
  <conditionalFormatting sqref="J11:O11">
    <cfRule type="expression" dxfId="163" priority="69">
      <formula>$I$2=$K$11</formula>
    </cfRule>
  </conditionalFormatting>
  <conditionalFormatting sqref="J12:O12">
    <cfRule type="expression" dxfId="162" priority="70">
      <formula>$I$2=$K$12</formula>
    </cfRule>
  </conditionalFormatting>
  <conditionalFormatting sqref="J14:O14">
    <cfRule type="expression" dxfId="161" priority="11">
      <formula>$I$2=$K$14</formula>
    </cfRule>
  </conditionalFormatting>
  <conditionalFormatting sqref="J15:O15">
    <cfRule type="expression" dxfId="160" priority="12">
      <formula>$I$2=$K$15</formula>
    </cfRule>
  </conditionalFormatting>
  <conditionalFormatting sqref="J16:O16">
    <cfRule type="expression" dxfId="159" priority="13">
      <formula>$I$2=$K$16</formula>
    </cfRule>
  </conditionalFormatting>
  <conditionalFormatting sqref="J17:O17">
    <cfRule type="expression" dxfId="158" priority="14">
      <formula>$I$2=$K$17</formula>
    </cfRule>
  </conditionalFormatting>
  <conditionalFormatting sqref="J18:O18">
    <cfRule type="expression" dxfId="157" priority="15">
      <formula>$I$2=$K$18</formula>
    </cfRule>
  </conditionalFormatting>
  <conditionalFormatting sqref="J19:O19">
    <cfRule type="expression" dxfId="156" priority="16">
      <formula>$I$2=$K$19</formula>
    </cfRule>
  </conditionalFormatting>
  <conditionalFormatting sqref="J21:O21">
    <cfRule type="expression" dxfId="155" priority="58">
      <formula>$I$2=$K$21</formula>
    </cfRule>
  </conditionalFormatting>
  <conditionalFormatting sqref="J22:O22">
    <cfRule type="expression" dxfId="154" priority="59">
      <formula>$I$2=$K$22</formula>
    </cfRule>
  </conditionalFormatting>
  <conditionalFormatting sqref="J23:O23">
    <cfRule type="expression" dxfId="153" priority="60">
      <formula>$I$2=$K$23</formula>
    </cfRule>
  </conditionalFormatting>
  <conditionalFormatting sqref="J24:O24">
    <cfRule type="expression" dxfId="152" priority="61">
      <formula>$I$2=$K$24</formula>
    </cfRule>
  </conditionalFormatting>
  <conditionalFormatting sqref="J25:O25">
    <cfRule type="expression" dxfId="151" priority="62">
      <formula>$I$2=$K$25</formula>
    </cfRule>
  </conditionalFormatting>
  <conditionalFormatting sqref="J26:O26">
    <cfRule type="expression" dxfId="150" priority="63">
      <formula>$I$2=$K$26</formula>
    </cfRule>
  </conditionalFormatting>
  <conditionalFormatting sqref="J28:O28">
    <cfRule type="expression" dxfId="149" priority="9">
      <formula>$I$2=$K$28</formula>
    </cfRule>
  </conditionalFormatting>
  <conditionalFormatting sqref="J29:O29">
    <cfRule type="expression" dxfId="148" priority="52">
      <formula>$I$2=$K$29</formula>
    </cfRule>
  </conditionalFormatting>
  <conditionalFormatting sqref="J30:O30">
    <cfRule type="expression" dxfId="147" priority="53">
      <formula>$I$2=$K$30</formula>
    </cfRule>
  </conditionalFormatting>
  <conditionalFormatting sqref="J31:O31">
    <cfRule type="expression" dxfId="146" priority="54">
      <formula>$I$2=$K$31</formula>
    </cfRule>
  </conditionalFormatting>
  <conditionalFormatting sqref="J32:O32">
    <cfRule type="expression" dxfId="145" priority="55">
      <formula>$I$2=$K$32</formula>
    </cfRule>
  </conditionalFormatting>
  <conditionalFormatting sqref="J33:O33">
    <cfRule type="expression" dxfId="144" priority="56">
      <formula>$I$2=$K$33</formula>
    </cfRule>
  </conditionalFormatting>
  <conditionalFormatting sqref="J35:O35">
    <cfRule type="expression" dxfId="143" priority="45">
      <formula>$I$2=$K$35</formula>
    </cfRule>
  </conditionalFormatting>
  <conditionalFormatting sqref="J36:O36">
    <cfRule type="expression" dxfId="142" priority="46">
      <formula>$I$2=$K$36</formula>
    </cfRule>
  </conditionalFormatting>
  <conditionalFormatting sqref="J37:O37">
    <cfRule type="expression" dxfId="141" priority="47">
      <formula>$I$2=$K$37</formula>
    </cfRule>
  </conditionalFormatting>
  <conditionalFormatting sqref="J38:O38">
    <cfRule type="expression" dxfId="140" priority="48">
      <formula>$I$2=$K$38</formula>
    </cfRule>
  </conditionalFormatting>
  <conditionalFormatting sqref="J39:O39">
    <cfRule type="expression" dxfId="139" priority="49">
      <formula>$I$2=$K$39</formula>
    </cfRule>
  </conditionalFormatting>
  <conditionalFormatting sqref="J40:O40">
    <cfRule type="expression" dxfId="138" priority="50">
      <formula>$I$2=$K$40</formula>
    </cfRule>
  </conditionalFormatting>
  <conditionalFormatting sqref="J42:O42">
    <cfRule type="expression" dxfId="137" priority="38">
      <formula>$I$2=$K$42</formula>
    </cfRule>
  </conditionalFormatting>
  <conditionalFormatting sqref="J43:O43">
    <cfRule type="expression" dxfId="136" priority="39">
      <formula>$I$2=$K$43</formula>
    </cfRule>
  </conditionalFormatting>
  <conditionalFormatting sqref="J44:O44">
    <cfRule type="expression" dxfId="135" priority="40">
      <formula>$I$2=$K$44</formula>
    </cfRule>
  </conditionalFormatting>
  <conditionalFormatting sqref="J45:O45">
    <cfRule type="expression" dxfId="134" priority="41">
      <formula>$I$2=$K$45</formula>
    </cfRule>
  </conditionalFormatting>
  <conditionalFormatting sqref="J46:O46">
    <cfRule type="expression" dxfId="133" priority="42">
      <formula>$I$2=$K$46</formula>
    </cfRule>
  </conditionalFormatting>
  <conditionalFormatting sqref="J47:O47">
    <cfRule type="expression" dxfId="132" priority="43">
      <formula>$I$2=$K$47</formula>
    </cfRule>
  </conditionalFormatting>
  <conditionalFormatting sqref="J49:O49">
    <cfRule type="expression" dxfId="131" priority="31">
      <formula>$I$2=$K$49</formula>
    </cfRule>
  </conditionalFormatting>
  <conditionalFormatting sqref="J50:O50">
    <cfRule type="expression" dxfId="130" priority="32">
      <formula>$I$2=$K$50</formula>
    </cfRule>
  </conditionalFormatting>
  <conditionalFormatting sqref="J51:O51">
    <cfRule type="expression" dxfId="129" priority="33">
      <formula>$I$2=$K$51</formula>
    </cfRule>
  </conditionalFormatting>
  <conditionalFormatting sqref="J52:O52">
    <cfRule type="expression" dxfId="128" priority="34">
      <formula>$I$2=$K$52</formula>
    </cfRule>
  </conditionalFormatting>
  <conditionalFormatting sqref="J53:O53">
    <cfRule type="expression" dxfId="127" priority="35">
      <formula>$I$2=$K$53</formula>
    </cfRule>
  </conditionalFormatting>
  <conditionalFormatting sqref="J54:O54">
    <cfRule type="expression" dxfId="126" priority="36">
      <formula>$I$2=$K$54</formula>
    </cfRule>
  </conditionalFormatting>
  <conditionalFormatting sqref="J56:O56">
    <cfRule type="expression" dxfId="125" priority="24">
      <formula>$I$2=$K$56</formula>
    </cfRule>
  </conditionalFormatting>
  <conditionalFormatting sqref="J57:O57">
    <cfRule type="expression" dxfId="124" priority="25">
      <formula>$I$2=$K$57</formula>
    </cfRule>
  </conditionalFormatting>
  <conditionalFormatting sqref="J58:O58">
    <cfRule type="expression" dxfId="123" priority="26">
      <formula>$I$2=$K$58</formula>
    </cfRule>
  </conditionalFormatting>
  <conditionalFormatting sqref="J59:O59">
    <cfRule type="expression" dxfId="122" priority="27">
      <formula>$I$2=$K$59</formula>
    </cfRule>
  </conditionalFormatting>
  <conditionalFormatting sqref="J60:O60">
    <cfRule type="expression" dxfId="121" priority="28">
      <formula>$I$2=$K$60</formula>
    </cfRule>
  </conditionalFormatting>
  <conditionalFormatting sqref="J61:O61">
    <cfRule type="expression" dxfId="120" priority="29">
      <formula>$I$2=$K$61</formula>
    </cfRule>
  </conditionalFormatting>
  <conditionalFormatting sqref="Q7:U7">
    <cfRule type="expression" dxfId="119" priority="22">
      <formula>$I$2=$Q$7</formula>
    </cfRule>
  </conditionalFormatting>
  <conditionalFormatting sqref="Q8:U8">
    <cfRule type="expression" dxfId="118" priority="21">
      <formula>$I$2=$Q$8</formula>
    </cfRule>
  </conditionalFormatting>
  <conditionalFormatting sqref="Q9:U9">
    <cfRule type="expression" dxfId="117" priority="7">
      <formula>$I$2=$Q$9</formula>
    </cfRule>
  </conditionalFormatting>
  <conditionalFormatting sqref="Q10:U10">
    <cfRule type="expression" dxfId="116" priority="6">
      <formula>$I$2=$Q$10</formula>
    </cfRule>
  </conditionalFormatting>
  <conditionalFormatting sqref="Q11:U11">
    <cfRule type="expression" dxfId="115" priority="5">
      <formula>$I$2=$Q$11</formula>
    </cfRule>
  </conditionalFormatting>
  <conditionalFormatting sqref="Q12:U12">
    <cfRule type="expression" dxfId="114" priority="4">
      <formula>$I$2=$Q$12</formula>
    </cfRule>
  </conditionalFormatting>
  <conditionalFormatting sqref="Q13:U13">
    <cfRule type="expression" dxfId="113" priority="3">
      <formula>$I$2=$Q$13</formula>
    </cfRule>
  </conditionalFormatting>
  <conditionalFormatting sqref="Q14:U14">
    <cfRule type="expression" dxfId="112" priority="2">
      <formula>$I$2=$Q$14</formula>
    </cfRule>
  </conditionalFormatting>
  <conditionalFormatting sqref="Q15:U15">
    <cfRule type="expression" dxfId="111" priority="1">
      <formula>$I$2=$Q$15</formula>
    </cfRule>
  </conditionalFormatting>
  <pageMargins left="0.25" right="0.25" top="0.75" bottom="0.75" header="0.3" footer="0.3"/>
  <pageSetup scale="8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U61"/>
  <sheetViews>
    <sheetView workbookViewId="0">
      <selection activeCell="R45" sqref="R45"/>
    </sheetView>
  </sheetViews>
  <sheetFormatPr defaultColWidth="9.140625" defaultRowHeight="15" x14ac:dyDescent="0.25"/>
  <cols>
    <col min="1" max="1" width="3.42578125" customWidth="1"/>
    <col min="2" max="2" width="6" style="24" customWidth="1"/>
    <col min="3" max="3" width="14.5703125" style="25" customWidth="1"/>
    <col min="4" max="4" width="15.28515625" style="24" customWidth="1"/>
    <col min="5" max="5" width="11.7109375" style="26" customWidth="1"/>
    <col min="6" max="6" width="12.5703125" style="26" customWidth="1"/>
    <col min="7" max="7" width="13.85546875" style="26" hidden="1" customWidth="1"/>
    <col min="8" max="8" width="10.140625" style="24" customWidth="1"/>
    <col min="9" max="9" width="9.7109375" style="24" customWidth="1"/>
    <col min="10" max="10" width="7.5703125" style="24" customWidth="1"/>
    <col min="11" max="11" width="8.85546875" customWidth="1"/>
    <col min="12" max="12" width="16.42578125" customWidth="1"/>
    <col min="13" max="13" width="16.140625" customWidth="1"/>
    <col min="14" max="14" width="15.7109375" customWidth="1"/>
    <col min="15" max="15" width="15.42578125" customWidth="1"/>
    <col min="16" max="16" width="16.85546875" customWidth="1"/>
    <col min="17" max="17" width="10.42578125" customWidth="1"/>
    <col min="18" max="18" width="16.85546875" customWidth="1"/>
    <col min="19" max="19" width="16.28515625" customWidth="1"/>
    <col min="20" max="20" width="16" customWidth="1"/>
    <col min="21" max="21" width="17.85546875" customWidth="1"/>
  </cols>
  <sheetData>
    <row r="2" spans="2:21" ht="23.25" x14ac:dyDescent="0.25">
      <c r="C2" s="188" t="s">
        <v>55</v>
      </c>
      <c r="D2" s="188"/>
      <c r="E2" s="188"/>
      <c r="F2" s="188"/>
      <c r="G2" s="38"/>
      <c r="I2" s="35">
        <v>2025</v>
      </c>
      <c r="J2" s="189" t="s">
        <v>56</v>
      </c>
      <c r="K2" s="189"/>
      <c r="L2" s="189"/>
      <c r="M2" s="189"/>
      <c r="N2" s="189"/>
      <c r="O2" s="189"/>
      <c r="Q2" s="189" t="s">
        <v>65</v>
      </c>
      <c r="R2" s="189"/>
      <c r="S2" s="189"/>
      <c r="T2" s="189"/>
      <c r="U2" s="189"/>
    </row>
    <row r="3" spans="2:21" ht="12" customHeight="1" x14ac:dyDescent="0.3">
      <c r="C3" s="38"/>
      <c r="D3" s="38"/>
      <c r="E3" s="38"/>
      <c r="F3" s="38"/>
      <c r="G3" s="38"/>
      <c r="I3" s="59"/>
      <c r="J3" s="59"/>
      <c r="K3" s="59"/>
      <c r="L3" s="59"/>
      <c r="M3" s="59"/>
      <c r="N3" s="59"/>
      <c r="O3" s="59"/>
      <c r="Q3" s="59"/>
      <c r="R3" s="59"/>
      <c r="S3" s="59"/>
      <c r="T3" s="59"/>
      <c r="U3" s="59"/>
    </row>
    <row r="4" spans="2:21" ht="23.45" x14ac:dyDescent="0.3">
      <c r="C4" s="188" t="s">
        <v>68</v>
      </c>
      <c r="D4" s="188"/>
      <c r="E4" s="188"/>
      <c r="F4" s="38"/>
      <c r="G4" s="38"/>
      <c r="I4" s="59"/>
      <c r="J4" s="59"/>
      <c r="K4" s="59"/>
      <c r="L4" s="59"/>
      <c r="M4" s="59"/>
      <c r="N4" s="59"/>
      <c r="O4" s="59"/>
      <c r="Q4" s="59"/>
      <c r="R4" s="59"/>
      <c r="S4" s="59"/>
      <c r="T4" s="59"/>
      <c r="U4" s="59"/>
    </row>
    <row r="6" spans="2:21" s="30" customFormat="1" ht="58.5" customHeight="1" x14ac:dyDescent="0.25">
      <c r="B6" s="31" t="s">
        <v>47</v>
      </c>
      <c r="C6" s="32" t="s">
        <v>1</v>
      </c>
      <c r="D6" s="31" t="s">
        <v>42</v>
      </c>
      <c r="E6" s="33" t="s">
        <v>43</v>
      </c>
      <c r="F6" s="33" t="s">
        <v>44</v>
      </c>
      <c r="G6" s="33"/>
      <c r="H6" s="31" t="s">
        <v>45</v>
      </c>
      <c r="I6" s="31" t="s">
        <v>46</v>
      </c>
      <c r="J6" s="31" t="s">
        <v>49</v>
      </c>
      <c r="K6" s="31" t="s">
        <v>9</v>
      </c>
      <c r="L6" s="31" t="s">
        <v>48</v>
      </c>
      <c r="M6" s="31" t="s">
        <v>11</v>
      </c>
      <c r="N6" s="31" t="s">
        <v>12</v>
      </c>
      <c r="O6" s="31" t="s">
        <v>13</v>
      </c>
      <c r="Q6" s="31" t="s">
        <v>9</v>
      </c>
      <c r="R6" s="31" t="s">
        <v>48</v>
      </c>
      <c r="S6" s="31" t="s">
        <v>11</v>
      </c>
      <c r="T6" s="31" t="s">
        <v>12</v>
      </c>
      <c r="U6" s="31" t="s">
        <v>13</v>
      </c>
    </row>
    <row r="7" spans="2:21" ht="14.45" x14ac:dyDescent="0.3">
      <c r="B7" s="27">
        <v>1</v>
      </c>
      <c r="C7" s="28">
        <v>1520</v>
      </c>
      <c r="D7" s="29">
        <v>5</v>
      </c>
      <c r="E7" s="37">
        <v>44606</v>
      </c>
      <c r="F7" s="37">
        <v>44562</v>
      </c>
      <c r="G7" s="39">
        <f>YEAR(F7)</f>
        <v>2022</v>
      </c>
      <c r="H7" s="27">
        <f>IF(OR(E7="",F7=""),"",(360-(E7-F7)))</f>
        <v>316</v>
      </c>
      <c r="I7" s="27">
        <f>IF(OR(E7="",F7=""),"",360-H7)</f>
        <v>44</v>
      </c>
      <c r="J7" s="27">
        <f>IF(OR(D7="",C7="",H7=""),"",1)</f>
        <v>1</v>
      </c>
      <c r="K7" s="27">
        <f>IF(G7="","",G7)</f>
        <v>2022</v>
      </c>
      <c r="L7" s="34">
        <f>IF(C7="","",C7)</f>
        <v>1520</v>
      </c>
      <c r="M7" s="34">
        <f>IF(OR(J7="",H7=""),"",(C$7/D$7)*H7/360)</f>
        <v>266.84444444444443</v>
      </c>
      <c r="N7" s="34">
        <f>M7</f>
        <v>266.84444444444443</v>
      </c>
      <c r="O7" s="34">
        <f t="shared" ref="O7:O12" si="0">IF(J7="","",L7-M7)</f>
        <v>1253.1555555555556</v>
      </c>
      <c r="P7" s="25"/>
      <c r="Q7" s="27">
        <v>2022</v>
      </c>
      <c r="R7" s="34">
        <f>SUMIF($K$7:$K$61,Q7,$L$7:$L$61)</f>
        <v>8559.0399999999991</v>
      </c>
      <c r="S7" s="34">
        <f t="shared" ref="S7:S12" si="1">SUMIF($K$7:$K$61,Q7,$M$7:$M$61)</f>
        <v>1174.1354555555554</v>
      </c>
      <c r="T7" s="34">
        <f t="shared" ref="T7:T12" si="2">SUMIF($K$7:$K$61,Q7,$N$7:$N$61)</f>
        <v>1174.1354555555554</v>
      </c>
      <c r="U7" s="34">
        <f t="shared" ref="U7:U12" si="3">SUMIF($K$7:$K$61,Q7,$O$7:$O$61)</f>
        <v>7384.9045444444446</v>
      </c>
    </row>
    <row r="8" spans="2:21" ht="14.45" x14ac:dyDescent="0.3">
      <c r="C8" s="186" t="s">
        <v>50</v>
      </c>
      <c r="D8" s="186"/>
      <c r="E8" s="187" t="s">
        <v>53</v>
      </c>
      <c r="F8" s="187"/>
      <c r="G8" s="40"/>
      <c r="J8" s="27">
        <f t="shared" ref="J8:J12" si="4">IF(J7="","",IF(J7+1&gt;D$7+1,"",J7+1))</f>
        <v>2</v>
      </c>
      <c r="K8" s="27">
        <f>IF(J8="","",K7+1)</f>
        <v>2023</v>
      </c>
      <c r="L8" s="34">
        <f t="shared" ref="L8:L12" si="5">IF(J8="","",L7-M7)</f>
        <v>1253.1555555555556</v>
      </c>
      <c r="M8" s="34">
        <f t="shared" ref="M8:M12" si="6">IF(J8="","",IF(J8=D$7+1,(C$7/D$7)*(I$7/360),C$7/D$7))</f>
        <v>304</v>
      </c>
      <c r="N8" s="34">
        <f t="shared" ref="N8:N12" si="7">IF(J8="","",N7+M8)</f>
        <v>570.84444444444443</v>
      </c>
      <c r="O8" s="34">
        <f t="shared" si="0"/>
        <v>949.15555555555557</v>
      </c>
      <c r="P8" s="25"/>
      <c r="Q8" s="27">
        <f>Q7+1</f>
        <v>2023</v>
      </c>
      <c r="R8" s="34">
        <f t="shared" ref="R8:R15" si="8">SUMIF($K$7:$K$61,Q8,$L$7:$L$61)</f>
        <v>7384.9045444444446</v>
      </c>
      <c r="S8" s="34">
        <f t="shared" si="1"/>
        <v>1711.808</v>
      </c>
      <c r="T8" s="34">
        <f t="shared" si="2"/>
        <v>2885.9434555555554</v>
      </c>
      <c r="U8" s="34">
        <f t="shared" si="3"/>
        <v>5673.0965444444446</v>
      </c>
    </row>
    <row r="9" spans="2:21" ht="14.45" x14ac:dyDescent="0.3">
      <c r="J9" s="27">
        <f t="shared" si="4"/>
        <v>3</v>
      </c>
      <c r="K9" s="27">
        <f t="shared" ref="K9:K12" si="9">IF(J9="","",K8+1)</f>
        <v>2024</v>
      </c>
      <c r="L9" s="34">
        <f t="shared" si="5"/>
        <v>949.15555555555557</v>
      </c>
      <c r="M9" s="34">
        <f t="shared" si="6"/>
        <v>304</v>
      </c>
      <c r="N9" s="34">
        <f t="shared" si="7"/>
        <v>874.84444444444443</v>
      </c>
      <c r="O9" s="34">
        <f t="shared" si="0"/>
        <v>645.15555555555557</v>
      </c>
      <c r="P9" s="25"/>
      <c r="Q9" s="27">
        <f t="shared" ref="Q9:Q15" si="10">Q8+1</f>
        <v>2024</v>
      </c>
      <c r="R9" s="34">
        <f t="shared" si="8"/>
        <v>5673.0965444444446</v>
      </c>
      <c r="S9" s="34">
        <f t="shared" si="1"/>
        <v>1711.808</v>
      </c>
      <c r="T9" s="34">
        <f t="shared" si="2"/>
        <v>4597.7514555555554</v>
      </c>
      <c r="U9" s="34">
        <f t="shared" si="3"/>
        <v>3961.2885444444446</v>
      </c>
    </row>
    <row r="10" spans="2:21" ht="14.45" x14ac:dyDescent="0.3">
      <c r="J10" s="27">
        <f t="shared" si="4"/>
        <v>4</v>
      </c>
      <c r="K10" s="27">
        <f t="shared" si="9"/>
        <v>2025</v>
      </c>
      <c r="L10" s="34">
        <f t="shared" si="5"/>
        <v>645.15555555555557</v>
      </c>
      <c r="M10" s="34">
        <f t="shared" si="6"/>
        <v>304</v>
      </c>
      <c r="N10" s="34">
        <f t="shared" si="7"/>
        <v>1178.8444444444444</v>
      </c>
      <c r="O10" s="34">
        <f t="shared" si="0"/>
        <v>341.15555555555557</v>
      </c>
      <c r="P10" s="25"/>
      <c r="Q10" s="27">
        <f t="shared" si="10"/>
        <v>2025</v>
      </c>
      <c r="R10" s="34">
        <f>SUMIF($K$7:$K$61,Q10,$L$7:$L$61)</f>
        <v>7766.4185444444447</v>
      </c>
      <c r="S10" s="34">
        <f>SUMIF($K$7:$K$61,Q10,$M$7:$M$61)</f>
        <v>2092.3209999999999</v>
      </c>
      <c r="T10" s="34">
        <f>SUMIF($K$7:$K$61,Q10,$N$7:$N$61)</f>
        <v>6690.0724555555553</v>
      </c>
      <c r="U10" s="34">
        <f t="shared" si="3"/>
        <v>5674.0975444444448</v>
      </c>
    </row>
    <row r="11" spans="2:21" ht="14.45" x14ac:dyDescent="0.3">
      <c r="J11" s="27">
        <f t="shared" si="4"/>
        <v>5</v>
      </c>
      <c r="K11" s="27">
        <f t="shared" si="9"/>
        <v>2026</v>
      </c>
      <c r="L11" s="34">
        <f t="shared" si="5"/>
        <v>341.15555555555557</v>
      </c>
      <c r="M11" s="34">
        <f t="shared" si="6"/>
        <v>304</v>
      </c>
      <c r="N11" s="34">
        <f t="shared" si="7"/>
        <v>1482.8444444444444</v>
      </c>
      <c r="O11" s="34">
        <f t="shared" si="0"/>
        <v>37.155555555555566</v>
      </c>
      <c r="P11" s="25"/>
      <c r="Q11" s="27">
        <f t="shared" si="10"/>
        <v>2026</v>
      </c>
      <c r="R11" s="34">
        <f t="shared" si="8"/>
        <v>5674.0975444444448</v>
      </c>
      <c r="S11" s="34">
        <f t="shared" si="1"/>
        <v>2472.8339999999998</v>
      </c>
      <c r="T11" s="34">
        <f t="shared" si="2"/>
        <v>9162.906455555556</v>
      </c>
      <c r="U11" s="34">
        <f t="shared" si="3"/>
        <v>3201.263544444445</v>
      </c>
    </row>
    <row r="12" spans="2:21" ht="14.45" x14ac:dyDescent="0.3">
      <c r="J12" s="27">
        <f t="shared" si="4"/>
        <v>6</v>
      </c>
      <c r="K12" s="27">
        <f t="shared" si="9"/>
        <v>2027</v>
      </c>
      <c r="L12" s="34">
        <f t="shared" si="5"/>
        <v>37.155555555555566</v>
      </c>
      <c r="M12" s="34">
        <f t="shared" si="6"/>
        <v>37.155555555555551</v>
      </c>
      <c r="N12" s="34">
        <f t="shared" si="7"/>
        <v>1520</v>
      </c>
      <c r="O12" s="34">
        <f t="shared" si="0"/>
        <v>1.4210854715202004E-14</v>
      </c>
      <c r="P12" s="25"/>
      <c r="Q12" s="27">
        <f t="shared" si="10"/>
        <v>2027</v>
      </c>
      <c r="R12" s="34">
        <f t="shared" si="8"/>
        <v>3201.263544444445</v>
      </c>
      <c r="S12" s="34">
        <f t="shared" si="1"/>
        <v>1298.6985444444445</v>
      </c>
      <c r="T12" s="34">
        <f t="shared" si="2"/>
        <v>10461.605</v>
      </c>
      <c r="U12" s="34">
        <f t="shared" si="3"/>
        <v>1902.5650000000005</v>
      </c>
    </row>
    <row r="13" spans="2:21" ht="14.45" x14ac:dyDescent="0.3">
      <c r="Q13" s="27">
        <f t="shared" si="10"/>
        <v>2028</v>
      </c>
      <c r="R13" s="34">
        <f t="shared" si="8"/>
        <v>1902.5650000000003</v>
      </c>
      <c r="S13" s="34">
        <f t="shared" ref="S13:S15" si="11">SUMIF($K$7:$K$61,Q13,$M$7:$M$61)</f>
        <v>761.02600000000007</v>
      </c>
      <c r="T13" s="34">
        <f t="shared" ref="T13:T15" si="12">SUMIF($K$7:$K$61,Q13,$N$7:$N$61)</f>
        <v>2663.5910000000003</v>
      </c>
      <c r="U13" s="34">
        <f t="shared" ref="U13:U15" si="13">SUMIF($K$7:$K$61,Q13,$O$7:$O$61)</f>
        <v>1141.5390000000002</v>
      </c>
    </row>
    <row r="14" spans="2:21" ht="14.45" x14ac:dyDescent="0.3">
      <c r="B14" s="27">
        <f>B7+1</f>
        <v>2</v>
      </c>
      <c r="C14" s="28">
        <v>1020</v>
      </c>
      <c r="D14" s="29">
        <v>5</v>
      </c>
      <c r="E14" s="37">
        <v>44664</v>
      </c>
      <c r="F14" s="37">
        <v>44562</v>
      </c>
      <c r="G14" s="39">
        <f>YEAR(F14)</f>
        <v>2022</v>
      </c>
      <c r="H14" s="27">
        <f>IF(OR(E14="",F14=""),"",(360-(E14-F14)))</f>
        <v>258</v>
      </c>
      <c r="I14" s="27">
        <f>IF(OR(E14="",F14=""),"",360-H14)</f>
        <v>102</v>
      </c>
      <c r="J14" s="27">
        <f>IF(OR(D14="",C14="",H14=""),"",1)</f>
        <v>1</v>
      </c>
      <c r="K14" s="27">
        <f>IF(G14="","",G14)</f>
        <v>2022</v>
      </c>
      <c r="L14" s="34">
        <f>IF(C14="","",C14)</f>
        <v>1020</v>
      </c>
      <c r="M14" s="34">
        <f>IF(OR(J14="",H14=""),"",(C$14/D$14)*H14/360)</f>
        <v>146.19999999999999</v>
      </c>
      <c r="N14" s="34">
        <f>M14</f>
        <v>146.19999999999999</v>
      </c>
      <c r="O14" s="34">
        <f t="shared" ref="O14:O19" si="14">IF(J14="","",L14-M14)</f>
        <v>873.8</v>
      </c>
      <c r="P14" s="25"/>
      <c r="Q14" s="27">
        <f t="shared" si="10"/>
        <v>2029</v>
      </c>
      <c r="R14" s="34">
        <f t="shared" si="8"/>
        <v>1141.5390000000002</v>
      </c>
      <c r="S14" s="34">
        <f t="shared" si="11"/>
        <v>761.02600000000007</v>
      </c>
      <c r="T14" s="34">
        <f t="shared" si="12"/>
        <v>3424.6170000000002</v>
      </c>
      <c r="U14" s="34">
        <f t="shared" si="13"/>
        <v>380.51300000000015</v>
      </c>
    </row>
    <row r="15" spans="2:21" ht="14.45" x14ac:dyDescent="0.3">
      <c r="C15" s="186" t="s">
        <v>51</v>
      </c>
      <c r="D15" s="186"/>
      <c r="E15" s="187" t="s">
        <v>53</v>
      </c>
      <c r="F15" s="187"/>
      <c r="G15" s="40"/>
      <c r="J15" s="27">
        <f t="shared" ref="J15:J19" si="15">IF(J14="","",IF(J14+1&gt;D$14+1,"",J14+1))</f>
        <v>2</v>
      </c>
      <c r="K15" s="27">
        <f>IF(J15="","",K14+1)</f>
        <v>2023</v>
      </c>
      <c r="L15" s="34">
        <f t="shared" ref="L15:L19" si="16">IF(J15="","",L14-M14)</f>
        <v>873.8</v>
      </c>
      <c r="M15" s="34">
        <f>IF(J15="","",IF(J15=D$14+1,(C$14/D$14)*(I$14/360),C$14/D$14))</f>
        <v>204</v>
      </c>
      <c r="N15" s="34">
        <f t="shared" ref="N15:N19" si="17">IF(J15="","",N14+M15)</f>
        <v>350.2</v>
      </c>
      <c r="O15" s="34">
        <f t="shared" si="14"/>
        <v>669.8</v>
      </c>
      <c r="P15" s="25"/>
      <c r="Q15" s="27">
        <f t="shared" si="10"/>
        <v>2030</v>
      </c>
      <c r="R15" s="34">
        <f t="shared" si="8"/>
        <v>380.51300000000015</v>
      </c>
      <c r="S15" s="34">
        <f t="shared" si="11"/>
        <v>380.51300000000003</v>
      </c>
      <c r="T15" s="34">
        <f t="shared" si="12"/>
        <v>3805.13</v>
      </c>
      <c r="U15" s="34">
        <f t="shared" si="13"/>
        <v>1.1368683772161603E-13</v>
      </c>
    </row>
    <row r="16" spans="2:21" ht="14.45" x14ac:dyDescent="0.3">
      <c r="J16" s="27">
        <f t="shared" si="15"/>
        <v>3</v>
      </c>
      <c r="K16" s="27">
        <f t="shared" ref="K16:K19" si="18">IF(J16="","",K15+1)</f>
        <v>2024</v>
      </c>
      <c r="L16" s="34">
        <f t="shared" si="16"/>
        <v>669.8</v>
      </c>
      <c r="M16" s="34">
        <f t="shared" ref="M16:M19" si="19">IF(J16="","",IF(J16=D$14+1,(C$14/D$14)*(I$14/360),C$14/D$14))</f>
        <v>204</v>
      </c>
      <c r="N16" s="34">
        <f t="shared" si="17"/>
        <v>554.20000000000005</v>
      </c>
      <c r="O16" s="34">
        <f t="shared" si="14"/>
        <v>465.79999999999995</v>
      </c>
      <c r="P16" s="25"/>
    </row>
    <row r="17" spans="2:16" ht="14.45" x14ac:dyDescent="0.3">
      <c r="J17" s="27">
        <f t="shared" si="15"/>
        <v>4</v>
      </c>
      <c r="K17" s="27">
        <f t="shared" si="18"/>
        <v>2025</v>
      </c>
      <c r="L17" s="34">
        <f t="shared" si="16"/>
        <v>465.79999999999995</v>
      </c>
      <c r="M17" s="34">
        <f t="shared" si="19"/>
        <v>204</v>
      </c>
      <c r="N17" s="34">
        <f t="shared" si="17"/>
        <v>758.2</v>
      </c>
      <c r="O17" s="34">
        <f t="shared" si="14"/>
        <v>261.79999999999995</v>
      </c>
      <c r="P17" s="25"/>
    </row>
    <row r="18" spans="2:16" ht="14.45" x14ac:dyDescent="0.3">
      <c r="J18" s="27">
        <f t="shared" si="15"/>
        <v>5</v>
      </c>
      <c r="K18" s="27">
        <f t="shared" si="18"/>
        <v>2026</v>
      </c>
      <c r="L18" s="34">
        <f t="shared" si="16"/>
        <v>261.79999999999995</v>
      </c>
      <c r="M18" s="34">
        <f t="shared" si="19"/>
        <v>204</v>
      </c>
      <c r="N18" s="34">
        <f t="shared" si="17"/>
        <v>962.2</v>
      </c>
      <c r="O18" s="34">
        <f t="shared" si="14"/>
        <v>57.799999999999955</v>
      </c>
      <c r="P18" s="25"/>
    </row>
    <row r="19" spans="2:16" ht="14.45" x14ac:dyDescent="0.3">
      <c r="J19" s="27">
        <f t="shared" si="15"/>
        <v>6</v>
      </c>
      <c r="K19" s="27">
        <f t="shared" si="18"/>
        <v>2027</v>
      </c>
      <c r="L19" s="34">
        <f t="shared" si="16"/>
        <v>57.799999999999955</v>
      </c>
      <c r="M19" s="34">
        <f t="shared" si="19"/>
        <v>57.8</v>
      </c>
      <c r="N19" s="34">
        <f t="shared" si="17"/>
        <v>1020</v>
      </c>
      <c r="O19" s="34">
        <f t="shared" si="14"/>
        <v>-4.2632564145606011E-14</v>
      </c>
      <c r="P19" s="25"/>
    </row>
    <row r="21" spans="2:16" ht="14.45" x14ac:dyDescent="0.3">
      <c r="B21" s="27">
        <f>B14+1</f>
        <v>3</v>
      </c>
      <c r="C21" s="28">
        <v>3541.67</v>
      </c>
      <c r="D21" s="29">
        <v>5</v>
      </c>
      <c r="E21" s="37">
        <v>44681</v>
      </c>
      <c r="F21" s="37">
        <v>44562</v>
      </c>
      <c r="G21" s="39">
        <f>YEAR(F21)</f>
        <v>2022</v>
      </c>
      <c r="H21" s="27">
        <f>IF(OR(E21="",F21=""),"",(360-(E21-F21)))</f>
        <v>241</v>
      </c>
      <c r="I21" s="27">
        <f>IF(OR(E21="",F21=""),"",360-H21)</f>
        <v>119</v>
      </c>
      <c r="J21" s="27">
        <f>IF(OR(D21="",C21="",H21=""),"",1)</f>
        <v>1</v>
      </c>
      <c r="K21" s="27">
        <f>IF(G21="","",G21)</f>
        <v>2022</v>
      </c>
      <c r="L21" s="34">
        <f>IF(C21="","",C21)</f>
        <v>3541.67</v>
      </c>
      <c r="M21" s="34">
        <f>IF(OR(J21="",H21=""),"",(C$21/D$21)*H21/360)</f>
        <v>474.19026111111111</v>
      </c>
      <c r="N21" s="34">
        <f>M21</f>
        <v>474.19026111111111</v>
      </c>
      <c r="O21" s="34">
        <f t="shared" ref="O21:O26" si="20">IF(J21="","",L21-M21)</f>
        <v>3067.4797388888892</v>
      </c>
      <c r="P21" s="25"/>
    </row>
    <row r="22" spans="2:16" ht="14.45" x14ac:dyDescent="0.3">
      <c r="C22" s="186" t="s">
        <v>50</v>
      </c>
      <c r="D22" s="186"/>
      <c r="E22" s="187" t="s">
        <v>53</v>
      </c>
      <c r="F22" s="187"/>
      <c r="G22" s="40"/>
      <c r="J22" s="27">
        <f t="shared" ref="J22:J26" si="21">IF(J21="","",IF(J21+1&gt;D$21+1,"",J21+1))</f>
        <v>2</v>
      </c>
      <c r="K22" s="27">
        <f>IF(J22="","",K21+1)</f>
        <v>2023</v>
      </c>
      <c r="L22" s="34">
        <f t="shared" ref="L22:L26" si="22">IF(J22="","",L21-M21)</f>
        <v>3067.4797388888892</v>
      </c>
      <c r="M22" s="34">
        <f>IF(J22="","",IF(J22=D$21+1,(C$21/D$21)*(I$21/360),C$21/D$21))</f>
        <v>708.33400000000006</v>
      </c>
      <c r="N22" s="34">
        <f t="shared" ref="N22:N26" si="23">IF(J22="","",N21+M22)</f>
        <v>1182.5242611111112</v>
      </c>
      <c r="O22" s="34">
        <f t="shared" si="20"/>
        <v>2359.1457388888894</v>
      </c>
      <c r="P22" s="25"/>
    </row>
    <row r="23" spans="2:16" ht="14.45" x14ac:dyDescent="0.3">
      <c r="J23" s="27">
        <f t="shared" si="21"/>
        <v>3</v>
      </c>
      <c r="K23" s="27">
        <f t="shared" ref="K23:K26" si="24">IF(J23="","",K22+1)</f>
        <v>2024</v>
      </c>
      <c r="L23" s="34">
        <f t="shared" si="22"/>
        <v>2359.1457388888894</v>
      </c>
      <c r="M23" s="34">
        <f>IF(J23="","",IF(J23=D$21+1,(C$21/D$21)*(I$21/360),C$21/D$21))</f>
        <v>708.33400000000006</v>
      </c>
      <c r="N23" s="34">
        <f t="shared" si="23"/>
        <v>1890.8582611111112</v>
      </c>
      <c r="O23" s="34">
        <f t="shared" si="20"/>
        <v>1650.8117388888893</v>
      </c>
      <c r="P23" s="25"/>
    </row>
    <row r="24" spans="2:16" ht="14.45" x14ac:dyDescent="0.3">
      <c r="J24" s="27">
        <f t="shared" si="21"/>
        <v>4</v>
      </c>
      <c r="K24" s="27">
        <f t="shared" si="24"/>
        <v>2025</v>
      </c>
      <c r="L24" s="34">
        <f t="shared" si="22"/>
        <v>1650.8117388888893</v>
      </c>
      <c r="M24" s="34">
        <f>IF(J24="","",IF(J24=D$21+1,(C$21/D$21)*(I$21/360),C$21/D$21))</f>
        <v>708.33400000000006</v>
      </c>
      <c r="N24" s="34">
        <f t="shared" si="23"/>
        <v>2599.1922611111113</v>
      </c>
      <c r="O24" s="34">
        <f t="shared" si="20"/>
        <v>942.47773888888923</v>
      </c>
      <c r="P24" s="25"/>
    </row>
    <row r="25" spans="2:16" ht="14.45" x14ac:dyDescent="0.3">
      <c r="J25" s="27">
        <f t="shared" si="21"/>
        <v>5</v>
      </c>
      <c r="K25" s="27">
        <f t="shared" si="24"/>
        <v>2026</v>
      </c>
      <c r="L25" s="34">
        <f t="shared" si="22"/>
        <v>942.47773888888923</v>
      </c>
      <c r="M25" s="34">
        <f>IF(J25="","",IF(J25=D$21+1,(C$21/D$21)*(I$21/360),C$21/D$21))</f>
        <v>708.33400000000006</v>
      </c>
      <c r="N25" s="34">
        <f t="shared" si="23"/>
        <v>3307.5262611111111</v>
      </c>
      <c r="O25" s="34">
        <f t="shared" si="20"/>
        <v>234.14373888888917</v>
      </c>
      <c r="P25" s="25"/>
    </row>
    <row r="26" spans="2:16" ht="14.45" x14ac:dyDescent="0.3">
      <c r="J26" s="27">
        <f t="shared" si="21"/>
        <v>6</v>
      </c>
      <c r="K26" s="27">
        <f t="shared" si="24"/>
        <v>2027</v>
      </c>
      <c r="L26" s="34">
        <f t="shared" si="22"/>
        <v>234.14373888888917</v>
      </c>
      <c r="M26" s="34">
        <f>IF(J26="","",IF(J26=D$21+1,(C$21/D$21)*(I$21/360),C$21/D$21))</f>
        <v>234.14373888888889</v>
      </c>
      <c r="N26" s="34">
        <f t="shared" si="23"/>
        <v>3541.67</v>
      </c>
      <c r="O26" s="34">
        <f t="shared" si="20"/>
        <v>2.8421709430404007E-13</v>
      </c>
      <c r="P26" s="25"/>
    </row>
    <row r="28" spans="2:16" ht="14.45" x14ac:dyDescent="0.3">
      <c r="B28" s="27">
        <f>B21+1</f>
        <v>4</v>
      </c>
      <c r="C28" s="28">
        <v>1403.31</v>
      </c>
      <c r="D28" s="29">
        <v>5</v>
      </c>
      <c r="E28" s="37">
        <v>44691</v>
      </c>
      <c r="F28" s="37">
        <v>44562</v>
      </c>
      <c r="G28" s="39">
        <f>YEAR(F28)</f>
        <v>2022</v>
      </c>
      <c r="H28" s="27">
        <f>IF(OR(E28="",F28=""),"",(360-(E28-F28)))</f>
        <v>231</v>
      </c>
      <c r="I28" s="27">
        <f>IF(OR(E28="",F28=""),"",360-H28)</f>
        <v>129</v>
      </c>
      <c r="J28" s="27">
        <f>IF(OR(D28="",C28="",H28=""),"",1)</f>
        <v>1</v>
      </c>
      <c r="K28" s="27">
        <f>IF(G28="","",G28)</f>
        <v>2022</v>
      </c>
      <c r="L28" s="34">
        <f>IF(C28="","",C28)</f>
        <v>1403.31</v>
      </c>
      <c r="M28" s="34">
        <f>IF(OR(J28="",H28=""),"",(C$28/D$28)*H28/360)</f>
        <v>180.09144999999998</v>
      </c>
      <c r="N28" s="34">
        <f>M28</f>
        <v>180.09144999999998</v>
      </c>
      <c r="O28" s="34">
        <f t="shared" ref="O28:O33" si="25">IF(J28="","",L28-M28)</f>
        <v>1223.2185500000001</v>
      </c>
      <c r="P28" s="25"/>
    </row>
    <row r="29" spans="2:16" ht="14.45" x14ac:dyDescent="0.3">
      <c r="C29" s="186" t="s">
        <v>52</v>
      </c>
      <c r="D29" s="186"/>
      <c r="E29" s="187" t="s">
        <v>53</v>
      </c>
      <c r="F29" s="187"/>
      <c r="G29" s="40"/>
      <c r="J29" s="27">
        <f>IF(J28="","",IF(J28+1&gt;D$28+1,"",J28+1))</f>
        <v>2</v>
      </c>
      <c r="K29" s="27">
        <f>IF(J29="","",K28+1)</f>
        <v>2023</v>
      </c>
      <c r="L29" s="34">
        <f t="shared" ref="L29:L33" si="26">IF(J29="","",L28-M28)</f>
        <v>1223.2185500000001</v>
      </c>
      <c r="M29" s="34">
        <f>IF(J29="","",IF(J29=D$28+1,(C$28/D$28)*(I$28/360),C$28/D$28))</f>
        <v>280.66199999999998</v>
      </c>
      <c r="N29" s="34">
        <f t="shared" ref="N29:N33" si="27">IF(J29="","",N28+M29)</f>
        <v>460.75344999999993</v>
      </c>
      <c r="O29" s="34">
        <f t="shared" si="25"/>
        <v>942.55655000000002</v>
      </c>
      <c r="P29" s="25"/>
    </row>
    <row r="30" spans="2:16" ht="14.45" x14ac:dyDescent="0.3">
      <c r="J30" s="27">
        <f t="shared" ref="J30:J33" si="28">IF(J29="","",IF(J29+1&gt;D$28+1,"",J29+1))</f>
        <v>3</v>
      </c>
      <c r="K30" s="27">
        <f t="shared" ref="K30:K33" si="29">IF(J30="","",K29+1)</f>
        <v>2024</v>
      </c>
      <c r="L30" s="34">
        <f t="shared" si="26"/>
        <v>942.55655000000002</v>
      </c>
      <c r="M30" s="34">
        <f>IF(J30="","",IF(J30=D$28+1,(C$28/D$28)*(I$28/360),C$28/D$28))</f>
        <v>280.66199999999998</v>
      </c>
      <c r="N30" s="34">
        <f t="shared" si="27"/>
        <v>741.41544999999996</v>
      </c>
      <c r="O30" s="34">
        <f t="shared" si="25"/>
        <v>661.89454999999998</v>
      </c>
      <c r="P30" s="25"/>
    </row>
    <row r="31" spans="2:16" ht="14.45" x14ac:dyDescent="0.3">
      <c r="J31" s="27">
        <f t="shared" si="28"/>
        <v>4</v>
      </c>
      <c r="K31" s="27">
        <f t="shared" si="29"/>
        <v>2025</v>
      </c>
      <c r="L31" s="34">
        <f t="shared" si="26"/>
        <v>661.89454999999998</v>
      </c>
      <c r="M31" s="34">
        <f>IF(J31="","",IF(J31=D$28+1,(C$28/D$28)*(I$28/360),C$28/D$28))</f>
        <v>280.66199999999998</v>
      </c>
      <c r="N31" s="34">
        <f t="shared" si="27"/>
        <v>1022.07745</v>
      </c>
      <c r="O31" s="34">
        <f t="shared" si="25"/>
        <v>381.23255</v>
      </c>
      <c r="P31" s="25"/>
    </row>
    <row r="32" spans="2:16" ht="14.45" x14ac:dyDescent="0.3">
      <c r="J32" s="27">
        <f t="shared" si="28"/>
        <v>5</v>
      </c>
      <c r="K32" s="27">
        <f t="shared" si="29"/>
        <v>2026</v>
      </c>
      <c r="L32" s="34">
        <f t="shared" si="26"/>
        <v>381.23255</v>
      </c>
      <c r="M32" s="34">
        <f>IF(J32="","",IF(J32=D$28+1,(C$28/D$28)*(I$28/360),C$28/D$28))</f>
        <v>280.66199999999998</v>
      </c>
      <c r="N32" s="34">
        <f t="shared" si="27"/>
        <v>1302.73945</v>
      </c>
      <c r="O32" s="34">
        <f t="shared" si="25"/>
        <v>100.57055000000003</v>
      </c>
      <c r="P32" s="25"/>
    </row>
    <row r="33" spans="2:16" ht="14.45" x14ac:dyDescent="0.3">
      <c r="J33" s="27">
        <f t="shared" si="28"/>
        <v>6</v>
      </c>
      <c r="K33" s="27">
        <f t="shared" si="29"/>
        <v>2027</v>
      </c>
      <c r="L33" s="34">
        <f t="shared" si="26"/>
        <v>100.57055000000003</v>
      </c>
      <c r="M33" s="34">
        <f>IF(J33="","",IF(J33=D$28+1,(C$28/D$28)*(I$28/360),C$28/D$28))</f>
        <v>100.57055</v>
      </c>
      <c r="N33" s="34">
        <f t="shared" si="27"/>
        <v>1403.31</v>
      </c>
      <c r="O33" s="34">
        <f t="shared" si="25"/>
        <v>2.8421709430404007E-14</v>
      </c>
      <c r="P33" s="25"/>
    </row>
    <row r="35" spans="2:16" x14ac:dyDescent="0.25">
      <c r="B35" s="27">
        <f>B28+1</f>
        <v>5</v>
      </c>
      <c r="C35" s="28">
        <v>1074.06</v>
      </c>
      <c r="D35" s="29">
        <v>5</v>
      </c>
      <c r="E35" s="37">
        <v>44743</v>
      </c>
      <c r="F35" s="37">
        <v>44562</v>
      </c>
      <c r="G35" s="39">
        <f>YEAR(F35)</f>
        <v>2022</v>
      </c>
      <c r="H35" s="27">
        <f>IF(OR(E35="",F35=""),"",(360-(E35-F35)))</f>
        <v>179</v>
      </c>
      <c r="I35" s="27">
        <f>IF(OR(E35="",F35=""),"",360-H35)</f>
        <v>181</v>
      </c>
      <c r="J35" s="27">
        <f>IF(OR(D35="",C35="",H35=""),"",1)</f>
        <v>1</v>
      </c>
      <c r="K35" s="27">
        <f>IF(G35="","",G35)</f>
        <v>2022</v>
      </c>
      <c r="L35" s="34">
        <f>IF(C35="","",C35)</f>
        <v>1074.06</v>
      </c>
      <c r="M35" s="34">
        <f>IF(OR(J35="",H35=""),"",(C$35/D$35)*H35/360)</f>
        <v>106.80929999999999</v>
      </c>
      <c r="N35" s="34">
        <f>M35</f>
        <v>106.80929999999999</v>
      </c>
      <c r="O35" s="34">
        <f t="shared" ref="O35:O40" si="30">IF(J35="","",L35-M35)</f>
        <v>967.25069999999994</v>
      </c>
      <c r="P35" s="25"/>
    </row>
    <row r="36" spans="2:16" x14ac:dyDescent="0.25">
      <c r="C36" s="186" t="s">
        <v>50</v>
      </c>
      <c r="D36" s="186"/>
      <c r="E36" s="187" t="s">
        <v>53</v>
      </c>
      <c r="F36" s="187"/>
      <c r="G36" s="40"/>
      <c r="J36" s="27">
        <f>IF(J35="","",IF(J35+1&gt;D$35+1,"",J35+1))</f>
        <v>2</v>
      </c>
      <c r="K36" s="27">
        <f>IF(J36="","",K35+1)</f>
        <v>2023</v>
      </c>
      <c r="L36" s="34">
        <f t="shared" ref="L36:L40" si="31">IF(J36="","",L35-M35)</f>
        <v>967.25069999999994</v>
      </c>
      <c r="M36" s="34">
        <f>IF(J36="","",IF(J36=D$35+1,(C$35/D$35)*(I$35/360),C$35/D$7))</f>
        <v>214.81199999999998</v>
      </c>
      <c r="N36" s="34">
        <f t="shared" ref="N36:N40" si="32">IF(J36="","",N35+M36)</f>
        <v>321.62129999999996</v>
      </c>
      <c r="O36" s="34">
        <f t="shared" si="30"/>
        <v>752.43869999999993</v>
      </c>
      <c r="P36" s="25"/>
    </row>
    <row r="37" spans="2:16" x14ac:dyDescent="0.25">
      <c r="J37" s="27">
        <f t="shared" ref="J37:J40" si="33">IF(J36="","",IF(J36+1&gt;D$35+1,"",J36+1))</f>
        <v>3</v>
      </c>
      <c r="K37" s="27">
        <f t="shared" ref="K37:K40" si="34">IF(J37="","",K36+1)</f>
        <v>2024</v>
      </c>
      <c r="L37" s="34">
        <f t="shared" si="31"/>
        <v>752.43869999999993</v>
      </c>
      <c r="M37" s="34">
        <f>IF(J37="","",IF(J37=D$35+1,(C$35/D$35)*(I$35/360),C$35/D$7))</f>
        <v>214.81199999999998</v>
      </c>
      <c r="N37" s="34">
        <f t="shared" si="32"/>
        <v>536.43329999999992</v>
      </c>
      <c r="O37" s="34">
        <f t="shared" si="30"/>
        <v>537.62669999999991</v>
      </c>
      <c r="P37" s="25"/>
    </row>
    <row r="38" spans="2:16" x14ac:dyDescent="0.25">
      <c r="J38" s="27">
        <f t="shared" si="33"/>
        <v>4</v>
      </c>
      <c r="K38" s="27">
        <f t="shared" si="34"/>
        <v>2025</v>
      </c>
      <c r="L38" s="34">
        <f t="shared" si="31"/>
        <v>537.62669999999991</v>
      </c>
      <c r="M38" s="34">
        <f>IF(J38="","",IF(J38=D$35+1,(C$35/D$35)*(I$35/360),C$35/D$7))</f>
        <v>214.81199999999998</v>
      </c>
      <c r="N38" s="34">
        <f t="shared" si="32"/>
        <v>751.24529999999993</v>
      </c>
      <c r="O38" s="34">
        <f t="shared" si="30"/>
        <v>322.8146999999999</v>
      </c>
      <c r="P38" s="25"/>
    </row>
    <row r="39" spans="2:16" x14ac:dyDescent="0.25">
      <c r="J39" s="27">
        <f t="shared" si="33"/>
        <v>5</v>
      </c>
      <c r="K39" s="27">
        <f t="shared" si="34"/>
        <v>2026</v>
      </c>
      <c r="L39" s="34">
        <f t="shared" si="31"/>
        <v>322.8146999999999</v>
      </c>
      <c r="M39" s="34">
        <f>IF(J39="","",IF(J39=D$35+1,(C$35/D$35)*(I$35/360),C$35/D$7))</f>
        <v>214.81199999999998</v>
      </c>
      <c r="N39" s="34">
        <f t="shared" si="32"/>
        <v>966.05729999999994</v>
      </c>
      <c r="O39" s="34">
        <f t="shared" si="30"/>
        <v>108.00269999999992</v>
      </c>
      <c r="P39" s="25"/>
    </row>
    <row r="40" spans="2:16" x14ac:dyDescent="0.25">
      <c r="J40" s="27">
        <f t="shared" si="33"/>
        <v>6</v>
      </c>
      <c r="K40" s="27">
        <f t="shared" si="34"/>
        <v>2027</v>
      </c>
      <c r="L40" s="34">
        <f t="shared" si="31"/>
        <v>108.00269999999992</v>
      </c>
      <c r="M40" s="34">
        <f>IF(J40="","",IF(J40=D$35+1,(C$35/D$35)*(I$35/360),C$35/D$7))</f>
        <v>108.00269999999999</v>
      </c>
      <c r="N40" s="34">
        <f t="shared" si="32"/>
        <v>1074.06</v>
      </c>
      <c r="O40" s="34">
        <f t="shared" si="30"/>
        <v>-7.1054273576010019E-14</v>
      </c>
      <c r="P40" s="25"/>
    </row>
    <row r="42" spans="2:16" x14ac:dyDescent="0.25">
      <c r="B42" s="27">
        <f>B35+1</f>
        <v>6</v>
      </c>
      <c r="C42" s="28">
        <v>3805.13</v>
      </c>
      <c r="D42" s="29">
        <v>5</v>
      </c>
      <c r="E42" s="37">
        <v>45839</v>
      </c>
      <c r="F42" s="37">
        <v>45658</v>
      </c>
      <c r="G42" s="39">
        <f>YEAR(F42)</f>
        <v>2025</v>
      </c>
      <c r="H42" s="27">
        <v>180</v>
      </c>
      <c r="I42" s="27">
        <v>180</v>
      </c>
      <c r="J42" s="27">
        <f>IF(OR(D42="",C42="",H42=""),"",1)</f>
        <v>1</v>
      </c>
      <c r="K42" s="27">
        <f>IF(G42="","",G42)</f>
        <v>2025</v>
      </c>
      <c r="L42" s="34">
        <f>IF(C42="","",C42)</f>
        <v>3805.13</v>
      </c>
      <c r="M42" s="34">
        <f>IF(OR(J42="",H42=""),"",(C$42/D$42)*H42/360)</f>
        <v>380.51300000000003</v>
      </c>
      <c r="N42" s="34">
        <f>M42</f>
        <v>380.51300000000003</v>
      </c>
      <c r="O42" s="34">
        <f t="shared" ref="O42:O47" si="35">IF(J42="","",L42-M42)</f>
        <v>3424.6170000000002</v>
      </c>
      <c r="P42" s="25"/>
    </row>
    <row r="43" spans="2:16" x14ac:dyDescent="0.25">
      <c r="C43" s="186" t="s">
        <v>138</v>
      </c>
      <c r="D43" s="186"/>
      <c r="E43" s="187"/>
      <c r="F43" s="187"/>
      <c r="G43" s="40"/>
      <c r="J43" s="27">
        <f>IF(J42="","",IF(J42+1&gt;D$42+1,"",J42+1))</f>
        <v>2</v>
      </c>
      <c r="K43" s="27">
        <f>IF(J43="","",K42+1)</f>
        <v>2026</v>
      </c>
      <c r="L43" s="34">
        <f t="shared" ref="L43:L47" si="36">IF(J43="","",L42-M42)</f>
        <v>3424.6170000000002</v>
      </c>
      <c r="M43" s="34">
        <f>IF(J43="","",IF(J43=D$42+1,(C$42/D$42)*(I$42/360),C$42/D$42))</f>
        <v>761.02600000000007</v>
      </c>
      <c r="N43" s="34">
        <f t="shared" ref="N43:N47" si="37">IF(J43="","",N42+M43)</f>
        <v>1141.5390000000002</v>
      </c>
      <c r="O43" s="34">
        <f t="shared" si="35"/>
        <v>2663.5910000000003</v>
      </c>
      <c r="P43" s="25"/>
    </row>
    <row r="44" spans="2:16" x14ac:dyDescent="0.25">
      <c r="J44" s="27">
        <f t="shared" ref="J44:J47" si="38">IF(J43="","",IF(J43+1&gt;D$42+1,"",J43+1))</f>
        <v>3</v>
      </c>
      <c r="K44" s="27">
        <f t="shared" ref="K44:K47" si="39">IF(J44="","",K43+1)</f>
        <v>2027</v>
      </c>
      <c r="L44" s="34">
        <f t="shared" si="36"/>
        <v>2663.5910000000003</v>
      </c>
      <c r="M44" s="34">
        <f>IF(J44="","",IF(J44=D$42+1,(C$42/D$42)*(I$42/360),C$42/D$42))</f>
        <v>761.02600000000007</v>
      </c>
      <c r="N44" s="34">
        <f t="shared" si="37"/>
        <v>1902.5650000000003</v>
      </c>
      <c r="O44" s="34">
        <f t="shared" si="35"/>
        <v>1902.5650000000003</v>
      </c>
      <c r="P44" s="25"/>
    </row>
    <row r="45" spans="2:16" x14ac:dyDescent="0.25">
      <c r="J45" s="27">
        <f t="shared" si="38"/>
        <v>4</v>
      </c>
      <c r="K45" s="27">
        <f t="shared" si="39"/>
        <v>2028</v>
      </c>
      <c r="L45" s="34">
        <f t="shared" si="36"/>
        <v>1902.5650000000003</v>
      </c>
      <c r="M45" s="34">
        <f>IF(J45="","",IF(J45=D$42+1,(C$42/D$42)*(I$42/360),C$42/D$42))</f>
        <v>761.02600000000007</v>
      </c>
      <c r="N45" s="34">
        <f t="shared" si="37"/>
        <v>2663.5910000000003</v>
      </c>
      <c r="O45" s="34">
        <f t="shared" si="35"/>
        <v>1141.5390000000002</v>
      </c>
      <c r="P45" s="25"/>
    </row>
    <row r="46" spans="2:16" x14ac:dyDescent="0.25">
      <c r="J46" s="27">
        <f t="shared" si="38"/>
        <v>5</v>
      </c>
      <c r="K46" s="27">
        <f t="shared" si="39"/>
        <v>2029</v>
      </c>
      <c r="L46" s="34">
        <f t="shared" si="36"/>
        <v>1141.5390000000002</v>
      </c>
      <c r="M46" s="34">
        <f>IF(J46="","",IF(J46=D$42+1,(C$42/D$42)*(I$42/360),C$42/D$42))</f>
        <v>761.02600000000007</v>
      </c>
      <c r="N46" s="34">
        <f t="shared" si="37"/>
        <v>3424.6170000000002</v>
      </c>
      <c r="O46" s="34">
        <f t="shared" si="35"/>
        <v>380.51300000000015</v>
      </c>
      <c r="P46" s="25"/>
    </row>
    <row r="47" spans="2:16" x14ac:dyDescent="0.25">
      <c r="J47" s="27">
        <f t="shared" si="38"/>
        <v>6</v>
      </c>
      <c r="K47" s="27">
        <f t="shared" si="39"/>
        <v>2030</v>
      </c>
      <c r="L47" s="34">
        <f t="shared" si="36"/>
        <v>380.51300000000015</v>
      </c>
      <c r="M47" s="34">
        <f>IF(J47="","",IF(J47=D$42+1,(C$42/D$42)*(I$42/360),C$42/D$42))</f>
        <v>380.51300000000003</v>
      </c>
      <c r="N47" s="34">
        <f t="shared" si="37"/>
        <v>3805.13</v>
      </c>
      <c r="O47" s="34">
        <f t="shared" si="35"/>
        <v>1.1368683772161603E-13</v>
      </c>
      <c r="P47" s="25"/>
    </row>
    <row r="49" spans="2:16" x14ac:dyDescent="0.25">
      <c r="B49" s="27">
        <f>B42+1</f>
        <v>7</v>
      </c>
      <c r="C49" s="28"/>
      <c r="D49" s="29"/>
      <c r="E49" s="37"/>
      <c r="F49" s="37"/>
      <c r="G49" s="39">
        <f>YEAR(F49)</f>
        <v>1900</v>
      </c>
      <c r="H49" s="27" t="str">
        <f>IF(OR(E49="",F49=""),"",(360-(E49-F49)))</f>
        <v/>
      </c>
      <c r="I49" s="27" t="str">
        <f>IF(OR(E49="",F49=""),"",360-H49)</f>
        <v/>
      </c>
      <c r="J49" s="27" t="str">
        <f>IF(OR(D49="",C49="",H49=""),"",1)</f>
        <v/>
      </c>
      <c r="K49" s="27">
        <f>IF(G49="","",G49)</f>
        <v>1900</v>
      </c>
      <c r="L49" s="34" t="str">
        <f>IF(C49="","",C49)</f>
        <v/>
      </c>
      <c r="M49" s="34" t="str">
        <f>IF(OR(J49="",H49=""),"",(C$49/D$49)*H49/360)</f>
        <v/>
      </c>
      <c r="N49" s="34" t="str">
        <f>M49</f>
        <v/>
      </c>
      <c r="O49" s="34" t="str">
        <f t="shared" ref="O49:O54" si="40">IF(J49="","",L49-M49)</f>
        <v/>
      </c>
      <c r="P49" s="25"/>
    </row>
    <row r="50" spans="2:16" x14ac:dyDescent="0.25">
      <c r="C50" s="186"/>
      <c r="D50" s="186"/>
      <c r="E50" s="187"/>
      <c r="F50" s="187"/>
      <c r="G50" s="40"/>
      <c r="J50" s="27" t="str">
        <f>IF(J49="","",IF(J49+1&gt;D$49+1,"",J49+1))</f>
        <v/>
      </c>
      <c r="K50" s="27" t="str">
        <f>IF(J50="","",K49+1)</f>
        <v/>
      </c>
      <c r="L50" s="34" t="str">
        <f t="shared" ref="L50:L54" si="41">IF(J50="","",L49-M49)</f>
        <v/>
      </c>
      <c r="M50" s="34" t="str">
        <f>IF(J50="","",IF(J50=D$49+1,(C$49/D$49)*(I$49/360),C$49/D$49))</f>
        <v/>
      </c>
      <c r="N50" s="34" t="str">
        <f t="shared" ref="N50:N54" si="42">IF(J50="","",N49+M50)</f>
        <v/>
      </c>
      <c r="O50" s="34" t="str">
        <f t="shared" si="40"/>
        <v/>
      </c>
      <c r="P50" s="25"/>
    </row>
    <row r="51" spans="2:16" x14ac:dyDescent="0.25">
      <c r="J51" s="27" t="str">
        <f t="shared" ref="J51:J54" si="43">IF(J50="","",IF(J50+1&gt;D$49+1,"",J50+1))</f>
        <v/>
      </c>
      <c r="K51" s="27" t="str">
        <f t="shared" ref="K51:K54" si="44">IF(J51="","",K50+1)</f>
        <v/>
      </c>
      <c r="L51" s="34" t="str">
        <f t="shared" si="41"/>
        <v/>
      </c>
      <c r="M51" s="34" t="str">
        <f>IF(J51="","",IF(J51=D$49+1,(C$49/D$49)*(I$49/360),C$49/D$49))</f>
        <v/>
      </c>
      <c r="N51" s="34" t="str">
        <f t="shared" si="42"/>
        <v/>
      </c>
      <c r="O51" s="34" t="str">
        <f t="shared" si="40"/>
        <v/>
      </c>
      <c r="P51" s="25"/>
    </row>
    <row r="52" spans="2:16" x14ac:dyDescent="0.25">
      <c r="J52" s="27" t="str">
        <f t="shared" si="43"/>
        <v/>
      </c>
      <c r="K52" s="27" t="str">
        <f t="shared" si="44"/>
        <v/>
      </c>
      <c r="L52" s="34" t="str">
        <f t="shared" si="41"/>
        <v/>
      </c>
      <c r="M52" s="34" t="str">
        <f>IF(J52="","",IF(J52=D$49+1,(C$49/D$49)*(I$49/360),C$49/D$49))</f>
        <v/>
      </c>
      <c r="N52" s="34" t="str">
        <f t="shared" si="42"/>
        <v/>
      </c>
      <c r="O52" s="34" t="str">
        <f t="shared" si="40"/>
        <v/>
      </c>
      <c r="P52" s="25"/>
    </row>
    <row r="53" spans="2:16" x14ac:dyDescent="0.25">
      <c r="J53" s="27" t="str">
        <f t="shared" si="43"/>
        <v/>
      </c>
      <c r="K53" s="27" t="str">
        <f t="shared" si="44"/>
        <v/>
      </c>
      <c r="L53" s="34" t="str">
        <f t="shared" si="41"/>
        <v/>
      </c>
      <c r="M53" s="34" t="str">
        <f>IF(J53="","",IF(J53=D$49+1,(C$49/D$49)*(I$49/360),C$49/D$49))</f>
        <v/>
      </c>
      <c r="N53" s="34" t="str">
        <f t="shared" si="42"/>
        <v/>
      </c>
      <c r="O53" s="34" t="str">
        <f t="shared" si="40"/>
        <v/>
      </c>
      <c r="P53" s="25"/>
    </row>
    <row r="54" spans="2:16" x14ac:dyDescent="0.25">
      <c r="J54" s="27" t="str">
        <f t="shared" si="43"/>
        <v/>
      </c>
      <c r="K54" s="27" t="str">
        <f t="shared" si="44"/>
        <v/>
      </c>
      <c r="L54" s="34" t="str">
        <f t="shared" si="41"/>
        <v/>
      </c>
      <c r="M54" s="34" t="str">
        <f>IF(J54="","",IF(J54=D$49+1,(C$49/D$49)*(I$49/360),C$49/D$49))</f>
        <v/>
      </c>
      <c r="N54" s="34" t="str">
        <f t="shared" si="42"/>
        <v/>
      </c>
      <c r="O54" s="34" t="str">
        <f t="shared" si="40"/>
        <v/>
      </c>
      <c r="P54" s="25"/>
    </row>
    <row r="56" spans="2:16" x14ac:dyDescent="0.25">
      <c r="B56" s="27">
        <f>B49+1</f>
        <v>8</v>
      </c>
      <c r="C56" s="28"/>
      <c r="D56" s="29"/>
      <c r="E56" s="37"/>
      <c r="F56" s="37"/>
      <c r="G56" s="39">
        <f>YEAR(F56)</f>
        <v>1900</v>
      </c>
      <c r="H56" s="27" t="str">
        <f>IF(OR(E56="",F56=""),"",(360-(E56-F56)))</f>
        <v/>
      </c>
      <c r="I56" s="27" t="str">
        <f>IF(OR(E56="",F56=""),"",360-H56)</f>
        <v/>
      </c>
      <c r="J56" s="27" t="str">
        <f>IF(OR(D56="",C56="",H56=""),"",1)</f>
        <v/>
      </c>
      <c r="K56" s="27">
        <f>IF(G56="","",G56)</f>
        <v>1900</v>
      </c>
      <c r="L56" s="34" t="str">
        <f>IF(C56="","",C56)</f>
        <v/>
      </c>
      <c r="M56" s="34" t="str">
        <f>IF(OR(J56="",H56=""),"",(C$56/D$56)*H56/360)</f>
        <v/>
      </c>
      <c r="N56" s="34" t="str">
        <f>M56</f>
        <v/>
      </c>
      <c r="O56" s="34" t="str">
        <f>IF(J56="","",L56-M56)</f>
        <v/>
      </c>
      <c r="P56" s="25"/>
    </row>
    <row r="57" spans="2:16" x14ac:dyDescent="0.25">
      <c r="C57" s="186"/>
      <c r="D57" s="186"/>
      <c r="E57" s="187"/>
      <c r="F57" s="187"/>
      <c r="G57" s="40"/>
      <c r="J57" s="27" t="str">
        <f>IF(J56="","",IF(J56+1&gt;D$56+1,"",J56+1))</f>
        <v/>
      </c>
      <c r="K57" s="27" t="str">
        <f>IF(J57="","",K56+1)</f>
        <v/>
      </c>
      <c r="L57" s="34" t="str">
        <f t="shared" ref="L57:L61" si="45">IF(J57="","",L56-M56)</f>
        <v/>
      </c>
      <c r="M57" s="34" t="str">
        <f>IF(J57="","",IF(J57=D$56+1,(C$56/D$56)*(I$56/360),C$56/D$56))</f>
        <v/>
      </c>
      <c r="N57" s="34" t="str">
        <f t="shared" ref="N57:N61" si="46">IF(J57="","",N56+M57)</f>
        <v/>
      </c>
      <c r="O57" s="34" t="str">
        <f>IF(J57="","",L57-M57)</f>
        <v/>
      </c>
      <c r="P57" s="25"/>
    </row>
    <row r="58" spans="2:16" x14ac:dyDescent="0.25">
      <c r="J58" s="27" t="str">
        <f t="shared" ref="J58:J61" si="47">IF(J57="","",IF(J57+1&gt;D$56+1,"",J57+1))</f>
        <v/>
      </c>
      <c r="K58" s="27" t="str">
        <f t="shared" ref="K58:K61" si="48">IF(J58="","",K57+1)</f>
        <v/>
      </c>
      <c r="L58" s="34" t="str">
        <f t="shared" si="45"/>
        <v/>
      </c>
      <c r="M58" s="34" t="str">
        <f t="shared" ref="M58:M61" si="49">IF(J58="","",IF(J58=D$56+1,(C$56/D$56)*(I$56/360),C$56/D$56))</f>
        <v/>
      </c>
      <c r="N58" s="34" t="str">
        <f t="shared" si="46"/>
        <v/>
      </c>
      <c r="O58" s="34" t="str">
        <f t="shared" ref="O58:O61" si="50">IF(J58="","",L58-M58)</f>
        <v/>
      </c>
      <c r="P58" s="25"/>
    </row>
    <row r="59" spans="2:16" x14ac:dyDescent="0.25">
      <c r="J59" s="27" t="str">
        <f t="shared" si="47"/>
        <v/>
      </c>
      <c r="K59" s="27" t="str">
        <f t="shared" si="48"/>
        <v/>
      </c>
      <c r="L59" s="34" t="str">
        <f t="shared" si="45"/>
        <v/>
      </c>
      <c r="M59" s="34" t="str">
        <f t="shared" si="49"/>
        <v/>
      </c>
      <c r="N59" s="34" t="str">
        <f t="shared" si="46"/>
        <v/>
      </c>
      <c r="O59" s="34" t="str">
        <f t="shared" si="50"/>
        <v/>
      </c>
      <c r="P59" s="25"/>
    </row>
    <row r="60" spans="2:16" x14ac:dyDescent="0.25">
      <c r="J60" s="27" t="str">
        <f t="shared" si="47"/>
        <v/>
      </c>
      <c r="K60" s="27" t="str">
        <f t="shared" si="48"/>
        <v/>
      </c>
      <c r="L60" s="34" t="str">
        <f t="shared" si="45"/>
        <v/>
      </c>
      <c r="M60" s="34" t="str">
        <f t="shared" si="49"/>
        <v/>
      </c>
      <c r="N60" s="34" t="str">
        <f t="shared" si="46"/>
        <v/>
      </c>
      <c r="O60" s="34" t="str">
        <f t="shared" si="50"/>
        <v/>
      </c>
      <c r="P60" s="25"/>
    </row>
    <row r="61" spans="2:16" x14ac:dyDescent="0.25">
      <c r="J61" s="27" t="str">
        <f t="shared" si="47"/>
        <v/>
      </c>
      <c r="K61" s="27" t="str">
        <f t="shared" si="48"/>
        <v/>
      </c>
      <c r="L61" s="34" t="str">
        <f t="shared" si="45"/>
        <v/>
      </c>
      <c r="M61" s="34" t="str">
        <f t="shared" si="49"/>
        <v/>
      </c>
      <c r="N61" s="34" t="str">
        <f t="shared" si="46"/>
        <v/>
      </c>
      <c r="O61" s="34" t="str">
        <f t="shared" si="50"/>
        <v/>
      </c>
      <c r="P61" s="25"/>
    </row>
  </sheetData>
  <mergeCells count="20">
    <mergeCell ref="C57:D57"/>
    <mergeCell ref="E57:F57"/>
    <mergeCell ref="C22:D22"/>
    <mergeCell ref="E22:F22"/>
    <mergeCell ref="C29:D29"/>
    <mergeCell ref="E29:F29"/>
    <mergeCell ref="C36:D36"/>
    <mergeCell ref="E36:F36"/>
    <mergeCell ref="Q2:U2"/>
    <mergeCell ref="C43:D43"/>
    <mergeCell ref="E43:F43"/>
    <mergeCell ref="C50:D50"/>
    <mergeCell ref="E50:F50"/>
    <mergeCell ref="C2:F2"/>
    <mergeCell ref="J2:O2"/>
    <mergeCell ref="C8:D8"/>
    <mergeCell ref="E8:F8"/>
    <mergeCell ref="C15:D15"/>
    <mergeCell ref="E15:F15"/>
    <mergeCell ref="C4:E4"/>
  </mergeCells>
  <conditionalFormatting sqref="J7:O7">
    <cfRule type="expression" dxfId="110" priority="90">
      <formula>$I$2=$K$7</formula>
    </cfRule>
  </conditionalFormatting>
  <conditionalFormatting sqref="J8:O8">
    <cfRule type="expression" dxfId="109" priority="91">
      <formula>$I$2=$K$8</formula>
    </cfRule>
  </conditionalFormatting>
  <conditionalFormatting sqref="J9:O9">
    <cfRule type="expression" dxfId="108" priority="92">
      <formula>$I$2=$K$9</formula>
    </cfRule>
  </conditionalFormatting>
  <conditionalFormatting sqref="J10:O10">
    <cfRule type="expression" dxfId="107" priority="93">
      <formula>$I$2=$K$10</formula>
    </cfRule>
  </conditionalFormatting>
  <conditionalFormatting sqref="J11:O11">
    <cfRule type="expression" dxfId="106" priority="94">
      <formula>$I$2=$K$11</formula>
    </cfRule>
  </conditionalFormatting>
  <conditionalFormatting sqref="J12:O12">
    <cfRule type="expression" dxfId="105" priority="95">
      <formula>$I$2=$K$12</formula>
    </cfRule>
  </conditionalFormatting>
  <conditionalFormatting sqref="J14:O14">
    <cfRule type="expression" dxfId="104" priority="12">
      <formula>$I$2=$K$14</formula>
    </cfRule>
  </conditionalFormatting>
  <conditionalFormatting sqref="J15:O15">
    <cfRule type="expression" dxfId="103" priority="13">
      <formula>$I$2=$K$15</formula>
    </cfRule>
  </conditionalFormatting>
  <conditionalFormatting sqref="J16:O16">
    <cfRule type="expression" dxfId="102" priority="14">
      <formula>$I$2=$K$16</formula>
    </cfRule>
  </conditionalFormatting>
  <conditionalFormatting sqref="J17:O17">
    <cfRule type="expression" dxfId="101" priority="15">
      <formula>$I$2=$K$17</formula>
    </cfRule>
  </conditionalFormatting>
  <conditionalFormatting sqref="J18:O18">
    <cfRule type="expression" dxfId="100" priority="16">
      <formula>$I$2=$K$18</formula>
    </cfRule>
  </conditionalFormatting>
  <conditionalFormatting sqref="J19:O19">
    <cfRule type="expression" dxfId="99" priority="17">
      <formula>$I$2=$K$19</formula>
    </cfRule>
  </conditionalFormatting>
  <conditionalFormatting sqref="J21:O21">
    <cfRule type="expression" dxfId="98" priority="76">
      <formula>$I$2=$K$21</formula>
    </cfRule>
  </conditionalFormatting>
  <conditionalFormatting sqref="J22:O22">
    <cfRule type="expression" dxfId="97" priority="77">
      <formula>$I$2=$K$22</formula>
    </cfRule>
  </conditionalFormatting>
  <conditionalFormatting sqref="J23:O23">
    <cfRule type="expression" dxfId="96" priority="78">
      <formula>$I$2=$K$23</formula>
    </cfRule>
  </conditionalFormatting>
  <conditionalFormatting sqref="J24:O24">
    <cfRule type="expression" dxfId="95" priority="79">
      <formula>$I$2=$K$24</formula>
    </cfRule>
  </conditionalFormatting>
  <conditionalFormatting sqref="J25:O25">
    <cfRule type="expression" dxfId="94" priority="80">
      <formula>$I$2=$K$25</formula>
    </cfRule>
  </conditionalFormatting>
  <conditionalFormatting sqref="J26:O26">
    <cfRule type="expression" dxfId="93" priority="81">
      <formula>$I$2=$K$26</formula>
    </cfRule>
  </conditionalFormatting>
  <conditionalFormatting sqref="J28:O28">
    <cfRule type="expression" dxfId="92" priority="10">
      <formula>$I$2=$K$28</formula>
    </cfRule>
  </conditionalFormatting>
  <conditionalFormatting sqref="J29:O29">
    <cfRule type="expression" dxfId="91" priority="70">
      <formula>$I$2=$K$29</formula>
    </cfRule>
  </conditionalFormatting>
  <conditionalFormatting sqref="J30:O30">
    <cfRule type="expression" dxfId="90" priority="71">
      <formula>$I$2=$K$30</formula>
    </cfRule>
  </conditionalFormatting>
  <conditionalFormatting sqref="J31:O31">
    <cfRule type="expression" dxfId="89" priority="72">
      <formula>$I$2=$K$31</formula>
    </cfRule>
  </conditionalFormatting>
  <conditionalFormatting sqref="J32:O32">
    <cfRule type="expression" dxfId="88" priority="73">
      <formula>$I$2=$K$32</formula>
    </cfRule>
  </conditionalFormatting>
  <conditionalFormatting sqref="J33:O33">
    <cfRule type="expression" dxfId="87" priority="74">
      <formula>$I$2=$K$33</formula>
    </cfRule>
  </conditionalFormatting>
  <conditionalFormatting sqref="J35:O35">
    <cfRule type="expression" dxfId="86" priority="62">
      <formula>$I$2=$K$35</formula>
    </cfRule>
  </conditionalFormatting>
  <conditionalFormatting sqref="J36:O36">
    <cfRule type="expression" dxfId="85" priority="63">
      <formula>$I$2=$K$36</formula>
    </cfRule>
  </conditionalFormatting>
  <conditionalFormatting sqref="J37:O37">
    <cfRule type="expression" dxfId="84" priority="64">
      <formula>$I$2=$K$37</formula>
    </cfRule>
  </conditionalFormatting>
  <conditionalFormatting sqref="J38:O38">
    <cfRule type="expression" dxfId="83" priority="65">
      <formula>$I$2=$K$38</formula>
    </cfRule>
  </conditionalFormatting>
  <conditionalFormatting sqref="J39:O39">
    <cfRule type="expression" dxfId="82" priority="66">
      <formula>$I$2=$K$39</formula>
    </cfRule>
  </conditionalFormatting>
  <conditionalFormatting sqref="J40:O40">
    <cfRule type="expression" dxfId="81" priority="67">
      <formula>$I$2=$K$40</formula>
    </cfRule>
  </conditionalFormatting>
  <conditionalFormatting sqref="J42:O42">
    <cfRule type="expression" dxfId="80" priority="55">
      <formula>$I$2=$K$42</formula>
    </cfRule>
  </conditionalFormatting>
  <conditionalFormatting sqref="J43:O43">
    <cfRule type="expression" dxfId="79" priority="56">
      <formula>$I$2=$K$43</formula>
    </cfRule>
  </conditionalFormatting>
  <conditionalFormatting sqref="J44:O44">
    <cfRule type="expression" dxfId="78" priority="57">
      <formula>$I$2=$K$44</formula>
    </cfRule>
  </conditionalFormatting>
  <conditionalFormatting sqref="J45:O45">
    <cfRule type="expression" dxfId="77" priority="58">
      <formula>$I$2=$K$45</formula>
    </cfRule>
  </conditionalFormatting>
  <conditionalFormatting sqref="J46:O46">
    <cfRule type="expression" dxfId="76" priority="59">
      <formula>$I$2=$K$46</formula>
    </cfRule>
  </conditionalFormatting>
  <conditionalFormatting sqref="J47:O47">
    <cfRule type="expression" dxfId="75" priority="60">
      <formula>$I$2=$K$47</formula>
    </cfRule>
  </conditionalFormatting>
  <conditionalFormatting sqref="J49:O49">
    <cfRule type="expression" dxfId="74" priority="48">
      <formula>$I$2=$K$49</formula>
    </cfRule>
  </conditionalFormatting>
  <conditionalFormatting sqref="J50:O50">
    <cfRule type="expression" dxfId="73" priority="49">
      <formula>$I$2=$K$50</formula>
    </cfRule>
  </conditionalFormatting>
  <conditionalFormatting sqref="J51:O51">
    <cfRule type="expression" dxfId="72" priority="50">
      <formula>$I$2=$K$51</formula>
    </cfRule>
  </conditionalFormatting>
  <conditionalFormatting sqref="J52:O52">
    <cfRule type="expression" dxfId="71" priority="51">
      <formula>$I$2=$K$52</formula>
    </cfRule>
  </conditionalFormatting>
  <conditionalFormatting sqref="J53:O53">
    <cfRule type="expression" dxfId="70" priority="52">
      <formula>$I$2=$K$53</formula>
    </cfRule>
  </conditionalFormatting>
  <conditionalFormatting sqref="J54:O54">
    <cfRule type="expression" dxfId="69" priority="53">
      <formula>$I$2=$K$54</formula>
    </cfRule>
  </conditionalFormatting>
  <conditionalFormatting sqref="J56:O56">
    <cfRule type="expression" dxfId="68" priority="41">
      <formula>$I$2=$K$56</formula>
    </cfRule>
  </conditionalFormatting>
  <conditionalFormatting sqref="J57:O57">
    <cfRule type="expression" dxfId="67" priority="42">
      <formula>$I$2=$K$57</formula>
    </cfRule>
  </conditionalFormatting>
  <conditionalFormatting sqref="J58:O58">
    <cfRule type="expression" dxfId="66" priority="43">
      <formula>$I$2=$K$58</formula>
    </cfRule>
  </conditionalFormatting>
  <conditionalFormatting sqref="J59:O59">
    <cfRule type="expression" dxfId="65" priority="44">
      <formula>$I$2=$K$59</formula>
    </cfRule>
  </conditionalFormatting>
  <conditionalFormatting sqref="J60:O60">
    <cfRule type="expression" dxfId="64" priority="45">
      <formula>$I$2=$K$60</formula>
    </cfRule>
  </conditionalFormatting>
  <conditionalFormatting sqref="J61:O61">
    <cfRule type="expression" dxfId="63" priority="46">
      <formula>$I$2=$K$61</formula>
    </cfRule>
  </conditionalFormatting>
  <conditionalFormatting sqref="Q7:U7">
    <cfRule type="expression" dxfId="62" priority="25">
      <formula>$I$2=$Q$7</formula>
    </cfRule>
  </conditionalFormatting>
  <conditionalFormatting sqref="Q8:U8">
    <cfRule type="expression" dxfId="61" priority="1">
      <formula>$I$2=$Q$8</formula>
    </cfRule>
  </conditionalFormatting>
  <conditionalFormatting sqref="Q9:U9">
    <cfRule type="expression" dxfId="60" priority="8">
      <formula>$I$2=$Q$9</formula>
    </cfRule>
  </conditionalFormatting>
  <conditionalFormatting sqref="Q10:U10">
    <cfRule type="expression" dxfId="59" priority="7">
      <formula>$I$2=$Q$10</formula>
    </cfRule>
  </conditionalFormatting>
  <conditionalFormatting sqref="Q11:U11">
    <cfRule type="expression" dxfId="58" priority="6">
      <formula>$I$2=$Q$11</formula>
    </cfRule>
  </conditionalFormatting>
  <conditionalFormatting sqref="Q12:U12">
    <cfRule type="expression" dxfId="57" priority="5">
      <formula>$I$2=$Q$12</formula>
    </cfRule>
  </conditionalFormatting>
  <conditionalFormatting sqref="Q13:U13">
    <cfRule type="expression" dxfId="56" priority="4">
      <formula>$I$2=$Q$13</formula>
    </cfRule>
  </conditionalFormatting>
  <conditionalFormatting sqref="Q14:U14">
    <cfRule type="expression" dxfId="55" priority="3">
      <formula>$I$2=$Q$14</formula>
    </cfRule>
  </conditionalFormatting>
  <conditionalFormatting sqref="Q15:U15">
    <cfRule type="expression" dxfId="54" priority="2">
      <formula>$I$2=$Q$15</formula>
    </cfRule>
  </conditionalFormatting>
  <pageMargins left="0.25" right="0.25" top="0.75" bottom="0.75" header="0.3" footer="0.3"/>
  <pageSetup scale="72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M63"/>
  <sheetViews>
    <sheetView topLeftCell="A16" workbookViewId="0">
      <selection activeCell="C36" sqref="C36"/>
    </sheetView>
  </sheetViews>
  <sheetFormatPr defaultColWidth="9.140625" defaultRowHeight="15" x14ac:dyDescent="0.25"/>
  <cols>
    <col min="1" max="1" width="3.42578125" customWidth="1"/>
    <col min="2" max="2" width="11.140625" style="25" customWidth="1"/>
    <col min="3" max="3" width="17.5703125" style="24" customWidth="1"/>
    <col min="4" max="4" width="16.7109375" style="26" customWidth="1"/>
    <col min="5" max="5" width="16.140625" style="26" customWidth="1"/>
    <col min="6" max="6" width="13.85546875" style="26" hidden="1" customWidth="1"/>
    <col min="7" max="7" width="17.7109375" style="64" customWidth="1"/>
    <col min="8" max="8" width="4.42578125" customWidth="1"/>
    <col min="10" max="10" width="16.85546875" customWidth="1"/>
    <col min="11" max="11" width="16.28515625" customWidth="1"/>
    <col min="12" max="12" width="16" customWidth="1"/>
    <col min="13" max="13" width="17.85546875" style="86" customWidth="1"/>
  </cols>
  <sheetData>
    <row r="2" spans="2:13" ht="23.25" x14ac:dyDescent="0.25">
      <c r="B2" s="196" t="s">
        <v>55</v>
      </c>
      <c r="C2" s="196"/>
      <c r="D2" s="196"/>
      <c r="E2" s="196"/>
      <c r="F2" s="38"/>
      <c r="G2" s="35">
        <v>2025</v>
      </c>
      <c r="I2" s="193" t="s">
        <v>106</v>
      </c>
      <c r="J2" s="193"/>
      <c r="K2" s="193"/>
      <c r="L2" s="193"/>
      <c r="M2" s="193"/>
    </row>
    <row r="3" spans="2:13" ht="12" customHeight="1" x14ac:dyDescent="0.25">
      <c r="B3" s="38"/>
      <c r="C3" s="38"/>
      <c r="D3" s="38"/>
      <c r="E3" s="38"/>
      <c r="F3" s="38"/>
      <c r="I3" s="59"/>
      <c r="J3" s="59"/>
      <c r="K3" s="59"/>
      <c r="L3" s="59"/>
      <c r="M3" s="59"/>
    </row>
    <row r="4" spans="2:13" ht="15.75" customHeight="1" x14ac:dyDescent="0.35">
      <c r="B4" s="72" t="s">
        <v>71</v>
      </c>
      <c r="C4" s="76"/>
      <c r="D4" s="77"/>
      <c r="E4" s="38"/>
      <c r="F4" s="38"/>
      <c r="I4" s="72" t="s">
        <v>71</v>
      </c>
      <c r="J4" s="73"/>
      <c r="K4" s="74"/>
    </row>
    <row r="5" spans="2:13" ht="15.75" x14ac:dyDescent="0.25">
      <c r="B5" s="75" t="s">
        <v>105</v>
      </c>
      <c r="C5" s="70"/>
      <c r="D5" s="71"/>
    </row>
    <row r="6" spans="2:13" s="30" customFormat="1" ht="46.5" customHeight="1" x14ac:dyDescent="0.25">
      <c r="B6" s="31" t="s">
        <v>9</v>
      </c>
      <c r="C6" s="31" t="s">
        <v>48</v>
      </c>
      <c r="D6" s="31" t="s">
        <v>11</v>
      </c>
      <c r="E6" s="31" t="s">
        <v>12</v>
      </c>
      <c r="F6" s="31" t="s">
        <v>13</v>
      </c>
      <c r="G6" s="31" t="s">
        <v>13</v>
      </c>
      <c r="I6" s="31" t="s">
        <v>9</v>
      </c>
      <c r="J6" s="31" t="s">
        <v>48</v>
      </c>
      <c r="K6" s="31" t="s">
        <v>11</v>
      </c>
      <c r="L6" s="31" t="s">
        <v>12</v>
      </c>
      <c r="M6" s="31" t="s">
        <v>13</v>
      </c>
    </row>
    <row r="7" spans="2:13" x14ac:dyDescent="0.25">
      <c r="B7" s="27">
        <f>'AMM A'!Q7</f>
        <v>2022</v>
      </c>
      <c r="C7" s="67">
        <f>'AMM A'!R7</f>
        <v>0</v>
      </c>
      <c r="D7" s="34">
        <f>'AMM A'!S7</f>
        <v>0</v>
      </c>
      <c r="E7" s="34">
        <f>'AMM A'!T7</f>
        <v>0</v>
      </c>
      <c r="F7" s="34">
        <f t="shared" ref="F7:F15" si="0">SUMIF($I$21:$I$64,B7,$M$21:$M$64)</f>
        <v>23191.442544444446</v>
      </c>
      <c r="G7" s="67">
        <f>'AMM A'!U7</f>
        <v>0</v>
      </c>
      <c r="H7" s="25"/>
      <c r="I7" s="27">
        <v>2022</v>
      </c>
      <c r="J7" s="67">
        <f>C7</f>
        <v>0</v>
      </c>
      <c r="K7" s="34">
        <f>D7</f>
        <v>0</v>
      </c>
      <c r="L7" s="34">
        <f>E7</f>
        <v>0</v>
      </c>
      <c r="M7" s="67">
        <f>G7</f>
        <v>0</v>
      </c>
    </row>
    <row r="8" spans="2:13" x14ac:dyDescent="0.25">
      <c r="B8" s="27">
        <f>'AMM A'!Q8</f>
        <v>2023</v>
      </c>
      <c r="C8" s="67">
        <f>'AMM A'!R8</f>
        <v>4391.6499999999996</v>
      </c>
      <c r="D8" s="34">
        <f>'AMM A'!S8</f>
        <v>195.97162037037035</v>
      </c>
      <c r="E8" s="34">
        <f>'AMM A'!T8</f>
        <v>195.97162037037035</v>
      </c>
      <c r="F8" s="34">
        <f t="shared" si="0"/>
        <v>40129.819468518523</v>
      </c>
      <c r="G8" s="67">
        <f>'AMM A'!U8</f>
        <v>4195.6783796296295</v>
      </c>
      <c r="H8" s="25"/>
      <c r="I8" s="27">
        <v>2023</v>
      </c>
      <c r="J8" s="67">
        <f t="shared" ref="J8:J15" si="1">C8</f>
        <v>4391.6499999999996</v>
      </c>
      <c r="K8" s="34">
        <f t="shared" ref="K8:K15" si="2">D8</f>
        <v>195.97162037037035</v>
      </c>
      <c r="L8" s="34">
        <f t="shared" ref="L8:L15" si="3">E8</f>
        <v>195.97162037037035</v>
      </c>
      <c r="M8" s="67">
        <f t="shared" ref="M8:M15" si="4">G8</f>
        <v>4195.6783796296295</v>
      </c>
    </row>
    <row r="9" spans="2:13" x14ac:dyDescent="0.25">
      <c r="B9" s="27">
        <f>'AMM A'!Q9</f>
        <v>2024</v>
      </c>
      <c r="C9" s="67">
        <f>'AMM A'!R9</f>
        <v>7198.9383796296297</v>
      </c>
      <c r="D9" s="34">
        <f>'AMM A'!S9</f>
        <v>2161.8632037037037</v>
      </c>
      <c r="E9" s="34">
        <f>'AMM A'!T9</f>
        <v>2357.8348240740743</v>
      </c>
      <c r="F9" s="34">
        <f t="shared" si="0"/>
        <v>30522.472264814813</v>
      </c>
      <c r="G9" s="67">
        <f>'AMM A'!U9</f>
        <v>5037.0751759259256</v>
      </c>
      <c r="H9" s="25"/>
      <c r="I9" s="27">
        <v>2024</v>
      </c>
      <c r="J9" s="67">
        <f t="shared" si="1"/>
        <v>7198.9383796296297</v>
      </c>
      <c r="K9" s="34">
        <f t="shared" si="2"/>
        <v>2161.8632037037037</v>
      </c>
      <c r="L9" s="34">
        <f t="shared" si="3"/>
        <v>2357.8348240740743</v>
      </c>
      <c r="M9" s="67">
        <f t="shared" si="4"/>
        <v>5037.0751759259256</v>
      </c>
    </row>
    <row r="10" spans="2:13" x14ac:dyDescent="0.25">
      <c r="B10" s="27">
        <f>'AMM A'!Q10</f>
        <v>2025</v>
      </c>
      <c r="C10" s="67">
        <f>'AMM A'!R10</f>
        <v>5037.0751759259256</v>
      </c>
      <c r="D10" s="34">
        <f>'AMM A'!S10</f>
        <v>2464.9699999999998</v>
      </c>
      <c r="E10" s="34">
        <f>'AMM A'!T10</f>
        <v>4822.8048240740736</v>
      </c>
      <c r="F10" s="34">
        <f t="shared" si="0"/>
        <v>24457.992264814813</v>
      </c>
      <c r="G10" s="67">
        <f>'AMM A'!U10</f>
        <v>2572.1051759259258</v>
      </c>
      <c r="H10" s="25"/>
      <c r="I10" s="27">
        <v>2025</v>
      </c>
      <c r="J10" s="67">
        <f t="shared" si="1"/>
        <v>5037.0751759259256</v>
      </c>
      <c r="K10" s="34">
        <f t="shared" si="2"/>
        <v>2464.9699999999998</v>
      </c>
      <c r="L10" s="34">
        <f t="shared" si="3"/>
        <v>4822.8048240740736</v>
      </c>
      <c r="M10" s="67">
        <f t="shared" si="4"/>
        <v>2572.1051759259258</v>
      </c>
    </row>
    <row r="11" spans="2:13" x14ac:dyDescent="0.25">
      <c r="B11" s="27">
        <f>'AMM A'!Q11</f>
        <v>2026</v>
      </c>
      <c r="C11" s="67">
        <f>'AMM A'!R11</f>
        <v>2572.1051759259258</v>
      </c>
      <c r="D11" s="34">
        <f>'AMM A'!S11</f>
        <v>2268.9983796296297</v>
      </c>
      <c r="E11" s="34">
        <f>'AMM A'!T11</f>
        <v>7091.8032037037028</v>
      </c>
      <c r="F11" s="34">
        <f t="shared" si="0"/>
        <v>67894.658885185185</v>
      </c>
      <c r="G11" s="67">
        <f>'AMM A'!U11</f>
        <v>303.10679629629618</v>
      </c>
      <c r="H11" s="25"/>
      <c r="I11" s="27">
        <v>2026</v>
      </c>
      <c r="J11" s="67">
        <f t="shared" si="1"/>
        <v>2572.1051759259258</v>
      </c>
      <c r="K11" s="34">
        <f t="shared" si="2"/>
        <v>2268.9983796296297</v>
      </c>
      <c r="L11" s="34">
        <f t="shared" si="3"/>
        <v>7091.8032037037028</v>
      </c>
      <c r="M11" s="67">
        <f t="shared" si="4"/>
        <v>303.10679629629618</v>
      </c>
    </row>
    <row r="12" spans="2:13" x14ac:dyDescent="0.25">
      <c r="B12" s="27">
        <f>'AMM A'!Q12</f>
        <v>2027</v>
      </c>
      <c r="C12" s="67">
        <f>'AMM A'!R12</f>
        <v>303.10679629629647</v>
      </c>
      <c r="D12" s="34">
        <f>'AMM A'!S12</f>
        <v>303.1067962962963</v>
      </c>
      <c r="E12" s="34">
        <f>'AMM A'!T12</f>
        <v>3003.2599999999998</v>
      </c>
      <c r="F12" s="34">
        <f t="shared" si="0"/>
        <v>47910.659</v>
      </c>
      <c r="G12" s="67">
        <f>'AMM A'!U12</f>
        <v>1.7053025658242404E-13</v>
      </c>
      <c r="H12" s="25"/>
      <c r="I12" s="27">
        <v>2027</v>
      </c>
      <c r="J12" s="67">
        <f t="shared" si="1"/>
        <v>303.10679629629647</v>
      </c>
      <c r="K12" s="34">
        <f t="shared" si="2"/>
        <v>303.1067962962963</v>
      </c>
      <c r="L12" s="34">
        <f t="shared" si="3"/>
        <v>3003.2599999999998</v>
      </c>
      <c r="M12" s="67">
        <f t="shared" si="4"/>
        <v>1.7053025658242404E-13</v>
      </c>
    </row>
    <row r="13" spans="2:13" x14ac:dyDescent="0.25">
      <c r="B13" s="27">
        <f>'AMM A'!Q13</f>
        <v>2028</v>
      </c>
      <c r="C13" s="67">
        <f>'AMM A'!R13</f>
        <v>0</v>
      </c>
      <c r="D13" s="34">
        <f>'AMM A'!S13</f>
        <v>0</v>
      </c>
      <c r="E13" s="34">
        <f>'AMM A'!T13</f>
        <v>0</v>
      </c>
      <c r="F13" s="34">
        <f t="shared" si="0"/>
        <v>32817.675000000003</v>
      </c>
      <c r="G13" s="67">
        <f>'AMM A'!U13</f>
        <v>0</v>
      </c>
      <c r="I13" s="27">
        <v>2028</v>
      </c>
      <c r="J13" s="67">
        <f t="shared" si="1"/>
        <v>0</v>
      </c>
      <c r="K13" s="34">
        <f t="shared" si="2"/>
        <v>0</v>
      </c>
      <c r="L13" s="34">
        <f t="shared" si="3"/>
        <v>0</v>
      </c>
      <c r="M13" s="67">
        <f t="shared" si="4"/>
        <v>0</v>
      </c>
    </row>
    <row r="14" spans="2:13" x14ac:dyDescent="0.25">
      <c r="B14" s="27">
        <f>'AMM A'!Q14</f>
        <v>2029</v>
      </c>
      <c r="C14" s="67">
        <f>'AMM A'!R14</f>
        <v>0</v>
      </c>
      <c r="D14" s="34">
        <f>'AMM A'!S14</f>
        <v>0</v>
      </c>
      <c r="E14" s="34">
        <f>'AMM A'!T14</f>
        <v>0</v>
      </c>
      <c r="F14" s="34">
        <f t="shared" si="0"/>
        <v>17724.691000000003</v>
      </c>
      <c r="G14" s="67">
        <f>'AMM A'!U14</f>
        <v>0</v>
      </c>
      <c r="H14" s="25"/>
      <c r="I14" s="27">
        <v>2029</v>
      </c>
      <c r="J14" s="67">
        <f t="shared" si="1"/>
        <v>0</v>
      </c>
      <c r="K14" s="34">
        <f t="shared" si="2"/>
        <v>0</v>
      </c>
      <c r="L14" s="34">
        <f t="shared" si="3"/>
        <v>0</v>
      </c>
      <c r="M14" s="67">
        <f t="shared" si="4"/>
        <v>0</v>
      </c>
    </row>
    <row r="15" spans="2:13" x14ac:dyDescent="0.25">
      <c r="B15" s="27">
        <f>'AMM A'!Q15</f>
        <v>2030</v>
      </c>
      <c r="C15" s="67">
        <f>'AMM A'!R15</f>
        <v>0</v>
      </c>
      <c r="D15" s="34">
        <f>'AMM A'!S15</f>
        <v>0</v>
      </c>
      <c r="E15" s="34">
        <f>'AMM A'!T15</f>
        <v>0</v>
      </c>
      <c r="F15" s="34">
        <f t="shared" si="0"/>
        <v>3392.7330000000002</v>
      </c>
      <c r="G15" s="67">
        <f>'AMM A'!U15</f>
        <v>0</v>
      </c>
      <c r="H15" s="25"/>
      <c r="I15" s="27">
        <v>2030</v>
      </c>
      <c r="J15" s="67">
        <f t="shared" si="1"/>
        <v>0</v>
      </c>
      <c r="K15" s="34">
        <f t="shared" si="2"/>
        <v>0</v>
      </c>
      <c r="L15" s="34">
        <f t="shared" si="3"/>
        <v>0</v>
      </c>
      <c r="M15" s="67">
        <f t="shared" si="4"/>
        <v>0</v>
      </c>
    </row>
    <row r="16" spans="2:13" x14ac:dyDescent="0.25">
      <c r="H16" s="25"/>
    </row>
    <row r="17" spans="2:13" ht="15.75" customHeight="1" x14ac:dyDescent="0.35">
      <c r="B17" s="72" t="s">
        <v>72</v>
      </c>
      <c r="C17" s="76"/>
      <c r="D17" s="77"/>
      <c r="E17" s="38"/>
      <c r="F17" s="38"/>
      <c r="I17" s="72" t="s">
        <v>72</v>
      </c>
      <c r="J17" s="73"/>
      <c r="K17" s="74"/>
    </row>
    <row r="18" spans="2:13" ht="15.75" x14ac:dyDescent="0.25">
      <c r="B18" s="75" t="s">
        <v>73</v>
      </c>
      <c r="C18" s="70"/>
      <c r="D18" s="71"/>
    </row>
    <row r="19" spans="2:13" s="69" customFormat="1" ht="43.5" customHeight="1" x14ac:dyDescent="0.25">
      <c r="B19" s="31" t="s">
        <v>9</v>
      </c>
      <c r="C19" s="31" t="s">
        <v>48</v>
      </c>
      <c r="D19" s="31" t="s">
        <v>11</v>
      </c>
      <c r="E19" s="31" t="s">
        <v>12</v>
      </c>
      <c r="F19" s="31" t="s">
        <v>13</v>
      </c>
      <c r="G19" s="31" t="s">
        <v>13</v>
      </c>
      <c r="H19" s="68"/>
      <c r="I19" s="31" t="s">
        <v>9</v>
      </c>
      <c r="J19" s="31" t="s">
        <v>48</v>
      </c>
      <c r="K19" s="31" t="s">
        <v>11</v>
      </c>
      <c r="L19" s="31" t="s">
        <v>12</v>
      </c>
      <c r="M19" s="31" t="s">
        <v>13</v>
      </c>
    </row>
    <row r="20" spans="2:13" x14ac:dyDescent="0.25">
      <c r="B20" s="27">
        <f>'AMM B'!Q7</f>
        <v>2022</v>
      </c>
      <c r="C20" s="67">
        <f>'AMM B'!R7</f>
        <v>17562.82</v>
      </c>
      <c r="D20" s="34">
        <f>'AMM B'!S7</f>
        <v>1756.2820000000002</v>
      </c>
      <c r="E20" s="34">
        <f>'AMM B'!T7</f>
        <v>1756.2820000000002</v>
      </c>
      <c r="F20" s="34">
        <f t="shared" ref="F20:F28" si="5">SUMIF($I$21:$I$64,B20,$M$21:$M$64)</f>
        <v>23191.442544444446</v>
      </c>
      <c r="G20" s="67">
        <f>'AMM B'!U7</f>
        <v>15806.538</v>
      </c>
      <c r="H20" s="25"/>
      <c r="I20" s="27">
        <v>2022</v>
      </c>
      <c r="J20" s="67">
        <f t="shared" ref="J20:J28" si="6">C33+C20</f>
        <v>26121.86</v>
      </c>
      <c r="K20" s="34">
        <f t="shared" ref="K20:K28" si="7">D33+D20</f>
        <v>2930.4174555555555</v>
      </c>
      <c r="L20" s="34">
        <f t="shared" ref="L20:L28" si="8">E33+E20</f>
        <v>2930.4174555555555</v>
      </c>
      <c r="M20" s="67">
        <f t="shared" ref="M20:M28" si="9">G33+G20</f>
        <v>23191.442544444446</v>
      </c>
    </row>
    <row r="21" spans="2:13" x14ac:dyDescent="0.25">
      <c r="B21" s="27">
        <f>'AMM B'!Q8</f>
        <v>2023</v>
      </c>
      <c r="C21" s="67">
        <f>'AMM B'!R8</f>
        <v>15806.538</v>
      </c>
      <c r="D21" s="34">
        <f>'AMM B'!S8</f>
        <v>3512.5639999999999</v>
      </c>
      <c r="E21" s="34">
        <f>'AMM B'!T8</f>
        <v>5268.8459999999995</v>
      </c>
      <c r="F21" s="34">
        <f t="shared" si="5"/>
        <v>40129.819468518523</v>
      </c>
      <c r="G21" s="67">
        <f>'AMM B'!U8</f>
        <v>12293.974</v>
      </c>
      <c r="I21" s="27">
        <v>2023</v>
      </c>
      <c r="J21" s="67">
        <f t="shared" si="6"/>
        <v>23191.442544444446</v>
      </c>
      <c r="K21" s="34">
        <f t="shared" si="7"/>
        <v>5224.3719999999994</v>
      </c>
      <c r="L21" s="34">
        <f t="shared" si="8"/>
        <v>8154.7894555555549</v>
      </c>
      <c r="M21" s="67">
        <f t="shared" si="9"/>
        <v>17967.070544444447</v>
      </c>
    </row>
    <row r="22" spans="2:13" x14ac:dyDescent="0.25">
      <c r="B22" s="27">
        <f>'AMM B'!Q9</f>
        <v>2024</v>
      </c>
      <c r="C22" s="67">
        <f>'AMM B'!R9</f>
        <v>12293.974</v>
      </c>
      <c r="D22" s="34">
        <f>'AMM B'!S9</f>
        <v>3512.5639999999999</v>
      </c>
      <c r="E22" s="34">
        <f>'AMM B'!T9</f>
        <v>8781.41</v>
      </c>
      <c r="F22" s="34">
        <f t="shared" si="5"/>
        <v>30522.472264814813</v>
      </c>
      <c r="G22" s="67">
        <f>'AMM B'!U9</f>
        <v>8781.41</v>
      </c>
      <c r="H22" s="25"/>
      <c r="I22" s="27">
        <v>2024</v>
      </c>
      <c r="J22" s="67">
        <f t="shared" si="6"/>
        <v>17967.070544444447</v>
      </c>
      <c r="K22" s="34">
        <f t="shared" si="7"/>
        <v>5224.3719999999994</v>
      </c>
      <c r="L22" s="34">
        <f t="shared" si="8"/>
        <v>13379.161455555555</v>
      </c>
      <c r="M22" s="67">
        <f t="shared" si="9"/>
        <v>12742.698544444444</v>
      </c>
    </row>
    <row r="23" spans="2:13" x14ac:dyDescent="0.25">
      <c r="B23" s="27">
        <f>'AMM B'!Q10</f>
        <v>2025</v>
      </c>
      <c r="C23" s="67">
        <f>'AMM B'!R10</f>
        <v>8781.41</v>
      </c>
      <c r="D23" s="34">
        <f>'AMM B'!S10</f>
        <v>3512.5639999999999</v>
      </c>
      <c r="E23" s="34">
        <f>'AMM B'!T10</f>
        <v>12293.974</v>
      </c>
      <c r="F23" s="34">
        <f t="shared" si="5"/>
        <v>24457.992264814813</v>
      </c>
      <c r="G23" s="67">
        <f>'AMM B'!U10</f>
        <v>5268.8459999999995</v>
      </c>
      <c r="H23" s="25"/>
      <c r="I23" s="27">
        <v>2025</v>
      </c>
      <c r="J23" s="67">
        <f t="shared" si="6"/>
        <v>16547.828544444445</v>
      </c>
      <c r="K23" s="34">
        <f t="shared" si="7"/>
        <v>5604.8850000000002</v>
      </c>
      <c r="L23" s="34">
        <f t="shared" si="8"/>
        <v>18984.046455555555</v>
      </c>
      <c r="M23" s="67">
        <f t="shared" si="9"/>
        <v>10942.943544444444</v>
      </c>
    </row>
    <row r="24" spans="2:13" x14ac:dyDescent="0.25">
      <c r="B24" s="27">
        <f>'AMM B'!Q11</f>
        <v>2026</v>
      </c>
      <c r="C24" s="67">
        <f>'AMM B'!R11</f>
        <v>39196.175999999999</v>
      </c>
      <c r="D24" s="34">
        <f>'AMM B'!S11</f>
        <v>8601.6635000000006</v>
      </c>
      <c r="E24" s="34">
        <f>'AMM B'!T11</f>
        <v>20895.637500000001</v>
      </c>
      <c r="F24" s="34">
        <f t="shared" si="5"/>
        <v>67894.658885185185</v>
      </c>
      <c r="G24" s="67">
        <f>'AMM B'!U11</f>
        <v>30594.512500000001</v>
      </c>
      <c r="H24" s="25"/>
      <c r="I24" s="27">
        <v>2026</v>
      </c>
      <c r="J24" s="67">
        <f t="shared" si="6"/>
        <v>44870.273544444441</v>
      </c>
      <c r="K24" s="34">
        <f t="shared" si="7"/>
        <v>11074.497500000001</v>
      </c>
      <c r="L24" s="34">
        <f t="shared" si="8"/>
        <v>30058.543955555557</v>
      </c>
      <c r="M24" s="67">
        <f t="shared" si="9"/>
        <v>33795.776044444443</v>
      </c>
    </row>
    <row r="25" spans="2:13" x14ac:dyDescent="0.25">
      <c r="B25" s="27">
        <f>'AMM B'!Q12</f>
        <v>2027</v>
      </c>
      <c r="C25" s="67">
        <f>'AMM B'!R12</f>
        <v>30594.512500000001</v>
      </c>
      <c r="D25" s="34">
        <f>'AMM B'!S12</f>
        <v>8541.7479999999996</v>
      </c>
      <c r="E25" s="34">
        <f>'AMM B'!T12</f>
        <v>29437.3855</v>
      </c>
      <c r="F25" s="34">
        <f t="shared" si="5"/>
        <v>47910.659</v>
      </c>
      <c r="G25" s="67">
        <f>'AMM B'!U12</f>
        <v>22052.764500000001</v>
      </c>
      <c r="H25" s="25"/>
      <c r="I25" s="27">
        <v>2027</v>
      </c>
      <c r="J25" s="67">
        <f t="shared" si="6"/>
        <v>33795.776044444443</v>
      </c>
      <c r="K25" s="34">
        <f t="shared" si="7"/>
        <v>9840.4465444444431</v>
      </c>
      <c r="L25" s="34">
        <f t="shared" si="8"/>
        <v>39898.9905</v>
      </c>
      <c r="M25" s="67">
        <f t="shared" si="9"/>
        <v>23955.3295</v>
      </c>
    </row>
    <row r="26" spans="2:13" x14ac:dyDescent="0.25">
      <c r="B26" s="27">
        <f>'AMM B'!Q13</f>
        <v>2028</v>
      </c>
      <c r="C26" s="67">
        <f>'AMM B'!R13</f>
        <v>22052.764500000001</v>
      </c>
      <c r="D26" s="34">
        <f>'AMM B'!S13</f>
        <v>6785.4660000000003</v>
      </c>
      <c r="E26" s="34">
        <f>'AMM B'!T13</f>
        <v>18660.031500000001</v>
      </c>
      <c r="F26" s="34">
        <f t="shared" si="5"/>
        <v>32817.675000000003</v>
      </c>
      <c r="G26" s="67">
        <f>'AMM B'!U13</f>
        <v>15267.298500000001</v>
      </c>
      <c r="H26" s="25"/>
      <c r="I26" s="27">
        <v>2028</v>
      </c>
      <c r="J26" s="67">
        <f t="shared" si="6"/>
        <v>23955.3295</v>
      </c>
      <c r="K26" s="34">
        <f t="shared" si="7"/>
        <v>7546.4920000000002</v>
      </c>
      <c r="L26" s="34">
        <f t="shared" si="8"/>
        <v>21323.622500000001</v>
      </c>
      <c r="M26" s="67">
        <f t="shared" si="9"/>
        <v>16408.837500000001</v>
      </c>
    </row>
    <row r="27" spans="2:13" x14ac:dyDescent="0.25">
      <c r="B27" s="27">
        <f>'AMM B'!Q14</f>
        <v>2029</v>
      </c>
      <c r="C27" s="67">
        <f>'AMM B'!R14</f>
        <v>15267.298500000001</v>
      </c>
      <c r="D27" s="34">
        <f>'AMM B'!S14</f>
        <v>6785.4660000000003</v>
      </c>
      <c r="E27" s="34">
        <f>'AMM B'!T14</f>
        <v>25445.497500000001</v>
      </c>
      <c r="F27" s="34">
        <f t="shared" si="5"/>
        <v>17724.691000000003</v>
      </c>
      <c r="G27" s="67">
        <f>'AMM B'!U14</f>
        <v>8481.8325000000004</v>
      </c>
      <c r="H27" s="25"/>
      <c r="I27" s="27">
        <v>2029</v>
      </c>
      <c r="J27" s="67">
        <f t="shared" si="6"/>
        <v>16408.837500000001</v>
      </c>
      <c r="K27" s="34">
        <f t="shared" si="7"/>
        <v>7546.4920000000002</v>
      </c>
      <c r="L27" s="34">
        <f t="shared" si="8"/>
        <v>28870.114500000003</v>
      </c>
      <c r="M27" s="67">
        <f t="shared" si="9"/>
        <v>8862.3455000000013</v>
      </c>
    </row>
    <row r="28" spans="2:13" x14ac:dyDescent="0.25">
      <c r="B28" s="27">
        <f>'AMM B'!Q15</f>
        <v>2030</v>
      </c>
      <c r="C28" s="67">
        <f>'AMM B'!R15</f>
        <v>8481.8325000000004</v>
      </c>
      <c r="D28" s="34">
        <f>'AMM B'!S15</f>
        <v>6785.4660000000003</v>
      </c>
      <c r="E28" s="34">
        <f>'AMM B'!T15</f>
        <v>32230.963500000002</v>
      </c>
      <c r="F28" s="34">
        <f t="shared" si="5"/>
        <v>3392.7330000000002</v>
      </c>
      <c r="G28" s="67">
        <f>'AMM B'!U15</f>
        <v>1696.3665000000001</v>
      </c>
      <c r="I28" s="27">
        <v>2030</v>
      </c>
      <c r="J28" s="67">
        <f t="shared" si="6"/>
        <v>8862.3455000000013</v>
      </c>
      <c r="K28" s="34">
        <f t="shared" si="7"/>
        <v>7165.9790000000003</v>
      </c>
      <c r="L28" s="34">
        <f t="shared" si="8"/>
        <v>36036.093500000003</v>
      </c>
      <c r="M28" s="67">
        <f t="shared" si="9"/>
        <v>1696.3665000000001</v>
      </c>
    </row>
    <row r="29" spans="2:13" x14ac:dyDescent="0.25">
      <c r="B29" s="65"/>
      <c r="C29" s="64"/>
      <c r="D29" s="40"/>
      <c r="E29" s="40"/>
      <c r="F29" s="66"/>
      <c r="H29" s="25"/>
    </row>
    <row r="30" spans="2:13" ht="15.75" customHeight="1" x14ac:dyDescent="0.35">
      <c r="B30" s="72" t="s">
        <v>72</v>
      </c>
      <c r="C30" s="76"/>
      <c r="D30" s="77"/>
      <c r="E30" s="38"/>
      <c r="F30" s="38"/>
      <c r="I30" s="72" t="s">
        <v>75</v>
      </c>
      <c r="J30" s="73"/>
      <c r="K30" s="74"/>
    </row>
    <row r="31" spans="2:13" ht="15.75" x14ac:dyDescent="0.25">
      <c r="B31" s="75" t="s">
        <v>74</v>
      </c>
      <c r="C31" s="70"/>
      <c r="D31" s="71"/>
    </row>
    <row r="32" spans="2:13" ht="48" customHeight="1" x14ac:dyDescent="0.25">
      <c r="B32" s="31" t="s">
        <v>9</v>
      </c>
      <c r="C32" s="31" t="s">
        <v>48</v>
      </c>
      <c r="D32" s="31" t="s">
        <v>11</v>
      </c>
      <c r="E32" s="31" t="s">
        <v>12</v>
      </c>
      <c r="F32" s="31" t="s">
        <v>13</v>
      </c>
      <c r="G32" s="31" t="s">
        <v>13</v>
      </c>
      <c r="H32" s="25"/>
      <c r="I32" s="31" t="s">
        <v>9</v>
      </c>
      <c r="J32" s="31" t="s">
        <v>48</v>
      </c>
      <c r="K32" s="31" t="s">
        <v>11</v>
      </c>
      <c r="L32" s="31" t="s">
        <v>12</v>
      </c>
      <c r="M32" s="31" t="s">
        <v>13</v>
      </c>
    </row>
    <row r="33" spans="2:13" x14ac:dyDescent="0.25">
      <c r="B33" s="27">
        <f>'AMM C'!Q7</f>
        <v>2022</v>
      </c>
      <c r="C33" s="67">
        <f>'AMM C'!R7</f>
        <v>8559.0399999999991</v>
      </c>
      <c r="D33" s="34">
        <f>'AMM C'!S7</f>
        <v>1174.1354555555554</v>
      </c>
      <c r="E33" s="34">
        <f>'AMM C'!T7</f>
        <v>1174.1354555555554</v>
      </c>
      <c r="F33" s="34">
        <f t="shared" ref="F33:F41" si="10">SUMIF($I$21:$I$64,B33,$M$21:$M$64)</f>
        <v>23191.442544444446</v>
      </c>
      <c r="G33" s="67">
        <f>'AMM C'!U7</f>
        <v>7384.9045444444446</v>
      </c>
      <c r="H33" s="25"/>
      <c r="I33" s="27">
        <v>2022</v>
      </c>
      <c r="J33" s="67">
        <f>J7+J20</f>
        <v>26121.86</v>
      </c>
      <c r="K33" s="34">
        <f>K7+K20</f>
        <v>2930.4174555555555</v>
      </c>
      <c r="L33" s="34">
        <f>L7+L20</f>
        <v>2930.4174555555555</v>
      </c>
      <c r="M33" s="67">
        <f>M7+M20</f>
        <v>23191.442544444446</v>
      </c>
    </row>
    <row r="34" spans="2:13" x14ac:dyDescent="0.25">
      <c r="B34" s="27">
        <f>'AMM C'!Q8</f>
        <v>2023</v>
      </c>
      <c r="C34" s="67">
        <f>'AMM C'!R8</f>
        <v>7384.9045444444446</v>
      </c>
      <c r="D34" s="34">
        <f>'AMM C'!S8</f>
        <v>1711.808</v>
      </c>
      <c r="E34" s="34">
        <f>'AMM C'!T8</f>
        <v>2885.9434555555554</v>
      </c>
      <c r="F34" s="34">
        <f t="shared" si="10"/>
        <v>40129.819468518523</v>
      </c>
      <c r="G34" s="67">
        <f>'AMM C'!U8</f>
        <v>5673.0965444444446</v>
      </c>
      <c r="H34" s="25"/>
      <c r="I34" s="27">
        <v>2023</v>
      </c>
      <c r="J34" s="67">
        <f t="shared" ref="J34:M34" si="11">J8+J21</f>
        <v>27583.092544444444</v>
      </c>
      <c r="K34" s="34">
        <f t="shared" si="11"/>
        <v>5420.3436203703695</v>
      </c>
      <c r="L34" s="34">
        <f t="shared" si="11"/>
        <v>8350.761075925926</v>
      </c>
      <c r="M34" s="67">
        <f t="shared" si="11"/>
        <v>22162.748924074076</v>
      </c>
    </row>
    <row r="35" spans="2:13" x14ac:dyDescent="0.25">
      <c r="B35" s="27">
        <f>'AMM C'!Q9</f>
        <v>2024</v>
      </c>
      <c r="C35" s="67">
        <f>'AMM C'!R9</f>
        <v>5673.0965444444446</v>
      </c>
      <c r="D35" s="34">
        <f>'AMM C'!S9</f>
        <v>1711.808</v>
      </c>
      <c r="E35" s="34">
        <f>'AMM C'!T9</f>
        <v>4597.7514555555554</v>
      </c>
      <c r="F35" s="34">
        <f t="shared" si="10"/>
        <v>30522.472264814813</v>
      </c>
      <c r="G35" s="67">
        <f>'AMM C'!U9</f>
        <v>3961.2885444444446</v>
      </c>
      <c r="H35" s="25"/>
      <c r="I35" s="27">
        <v>2024</v>
      </c>
      <c r="J35" s="67">
        <f t="shared" ref="J35:M35" si="12">J9+J22</f>
        <v>25166.008924074078</v>
      </c>
      <c r="K35" s="34">
        <f t="shared" si="12"/>
        <v>7386.2352037037035</v>
      </c>
      <c r="L35" s="34">
        <f t="shared" si="12"/>
        <v>15736.996279629629</v>
      </c>
      <c r="M35" s="67">
        <f t="shared" si="12"/>
        <v>17779.773720370369</v>
      </c>
    </row>
    <row r="36" spans="2:13" x14ac:dyDescent="0.25">
      <c r="B36" s="27">
        <f>'AMM C'!Q10</f>
        <v>2025</v>
      </c>
      <c r="C36" s="67">
        <f>'AMM C'!R10</f>
        <v>7766.4185444444447</v>
      </c>
      <c r="D36" s="34">
        <f>'AMM C'!S10</f>
        <v>2092.3209999999999</v>
      </c>
      <c r="E36" s="34">
        <f>'AMM C'!T10</f>
        <v>6690.0724555555553</v>
      </c>
      <c r="F36" s="34">
        <f t="shared" si="10"/>
        <v>24457.992264814813</v>
      </c>
      <c r="G36" s="67">
        <f>'AMM C'!U10</f>
        <v>5674.0975444444448</v>
      </c>
      <c r="I36" s="27">
        <v>2025</v>
      </c>
      <c r="J36" s="67">
        <f t="shared" ref="J36:M36" si="13">J10+J23</f>
        <v>21584.90372037037</v>
      </c>
      <c r="K36" s="34">
        <f t="shared" si="13"/>
        <v>8069.8549999999996</v>
      </c>
      <c r="L36" s="34">
        <f t="shared" si="13"/>
        <v>23806.851279629627</v>
      </c>
      <c r="M36" s="67">
        <f t="shared" si="13"/>
        <v>13515.048720370371</v>
      </c>
    </row>
    <row r="37" spans="2:13" x14ac:dyDescent="0.25">
      <c r="B37" s="27">
        <f>'AMM C'!Q11</f>
        <v>2026</v>
      </c>
      <c r="C37" s="67">
        <f>'AMM C'!R11</f>
        <v>5674.0975444444448</v>
      </c>
      <c r="D37" s="34">
        <f>'AMM C'!S11</f>
        <v>2472.8339999999998</v>
      </c>
      <c r="E37" s="34">
        <f>'AMM C'!T11</f>
        <v>9162.906455555556</v>
      </c>
      <c r="F37" s="34">
        <f t="shared" si="10"/>
        <v>67894.658885185185</v>
      </c>
      <c r="G37" s="67">
        <f>'AMM C'!U11</f>
        <v>3201.263544444445</v>
      </c>
      <c r="H37" s="25"/>
      <c r="I37" s="27">
        <v>2026</v>
      </c>
      <c r="J37" s="67">
        <f t="shared" ref="J37:M37" si="14">J11+J24</f>
        <v>47442.378720370369</v>
      </c>
      <c r="K37" s="34">
        <f t="shared" si="14"/>
        <v>13343.495879629631</v>
      </c>
      <c r="L37" s="34">
        <f t="shared" si="14"/>
        <v>37150.347159259261</v>
      </c>
      <c r="M37" s="67">
        <f t="shared" si="14"/>
        <v>34098.882840740742</v>
      </c>
    </row>
    <row r="38" spans="2:13" x14ac:dyDescent="0.25">
      <c r="B38" s="27">
        <f>'AMM C'!Q12</f>
        <v>2027</v>
      </c>
      <c r="C38" s="67">
        <f>'AMM C'!R12</f>
        <v>3201.263544444445</v>
      </c>
      <c r="D38" s="34">
        <f>'AMM C'!S12</f>
        <v>1298.6985444444445</v>
      </c>
      <c r="E38" s="34">
        <f>'AMM C'!T12</f>
        <v>10461.605</v>
      </c>
      <c r="F38" s="34">
        <f t="shared" si="10"/>
        <v>47910.659</v>
      </c>
      <c r="G38" s="67">
        <f>'AMM C'!U12</f>
        <v>1902.5650000000005</v>
      </c>
      <c r="H38" s="25"/>
      <c r="I38" s="27">
        <v>2027</v>
      </c>
      <c r="J38" s="67">
        <f t="shared" ref="J38:M38" si="15">J12+J25</f>
        <v>34098.882840740742</v>
      </c>
      <c r="K38" s="34">
        <f t="shared" si="15"/>
        <v>10143.55334074074</v>
      </c>
      <c r="L38" s="34">
        <f t="shared" si="15"/>
        <v>42902.250500000002</v>
      </c>
      <c r="M38" s="67">
        <f t="shared" si="15"/>
        <v>23955.3295</v>
      </c>
    </row>
    <row r="39" spans="2:13" x14ac:dyDescent="0.25">
      <c r="B39" s="27">
        <f>'AMM C'!Q13</f>
        <v>2028</v>
      </c>
      <c r="C39" s="67">
        <f>'AMM C'!R13</f>
        <v>1902.5650000000003</v>
      </c>
      <c r="D39" s="34">
        <f>'AMM C'!S13</f>
        <v>761.02600000000007</v>
      </c>
      <c r="E39" s="34">
        <f>'AMM C'!T13</f>
        <v>2663.5910000000003</v>
      </c>
      <c r="F39" s="34">
        <f t="shared" si="10"/>
        <v>32817.675000000003</v>
      </c>
      <c r="G39" s="67">
        <f>'AMM C'!U13</f>
        <v>1141.5390000000002</v>
      </c>
      <c r="H39" s="25"/>
      <c r="I39" s="27">
        <v>2028</v>
      </c>
      <c r="J39" s="67">
        <f t="shared" ref="J39:M39" si="16">J13+J26</f>
        <v>23955.3295</v>
      </c>
      <c r="K39" s="34">
        <f t="shared" si="16"/>
        <v>7546.4920000000002</v>
      </c>
      <c r="L39" s="34">
        <f t="shared" si="16"/>
        <v>21323.622500000001</v>
      </c>
      <c r="M39" s="67">
        <f t="shared" si="16"/>
        <v>16408.837500000001</v>
      </c>
    </row>
    <row r="40" spans="2:13" x14ac:dyDescent="0.25">
      <c r="B40" s="27">
        <f>'AMM C'!Q14</f>
        <v>2029</v>
      </c>
      <c r="C40" s="67">
        <f>'AMM C'!R14</f>
        <v>1141.5390000000002</v>
      </c>
      <c r="D40" s="34">
        <f>'AMM C'!S14</f>
        <v>761.02600000000007</v>
      </c>
      <c r="E40" s="34">
        <f>'AMM C'!T14</f>
        <v>3424.6170000000002</v>
      </c>
      <c r="F40" s="34">
        <f t="shared" si="10"/>
        <v>17724.691000000003</v>
      </c>
      <c r="G40" s="67">
        <f>'AMM C'!U14</f>
        <v>380.51300000000015</v>
      </c>
      <c r="H40" s="25"/>
      <c r="I40" s="27">
        <v>2029</v>
      </c>
      <c r="J40" s="67">
        <f t="shared" ref="J40:M40" si="17">J14+J27</f>
        <v>16408.837500000001</v>
      </c>
      <c r="K40" s="34">
        <f t="shared" si="17"/>
        <v>7546.4920000000002</v>
      </c>
      <c r="L40" s="34">
        <f t="shared" si="17"/>
        <v>28870.114500000003</v>
      </c>
      <c r="M40" s="67">
        <f t="shared" si="17"/>
        <v>8862.3455000000013</v>
      </c>
    </row>
    <row r="41" spans="2:13" x14ac:dyDescent="0.25">
      <c r="B41" s="27">
        <f>'AMM C'!Q15</f>
        <v>2030</v>
      </c>
      <c r="C41" s="67">
        <f>'AMM C'!R15</f>
        <v>380.51300000000015</v>
      </c>
      <c r="D41" s="34">
        <f>'AMM C'!S15</f>
        <v>380.51300000000003</v>
      </c>
      <c r="E41" s="34">
        <f>'AMM C'!T15</f>
        <v>3805.13</v>
      </c>
      <c r="F41" s="34">
        <f t="shared" si="10"/>
        <v>3392.7330000000002</v>
      </c>
      <c r="G41" s="67">
        <f>'AMM C'!U15</f>
        <v>1.1368683772161603E-13</v>
      </c>
      <c r="H41" s="25"/>
      <c r="I41" s="27">
        <v>2030</v>
      </c>
      <c r="J41" s="67">
        <f t="shared" ref="J41:M41" si="18">J15+J28</f>
        <v>8862.3455000000013</v>
      </c>
      <c r="K41" s="34">
        <f t="shared" si="18"/>
        <v>7165.9790000000003</v>
      </c>
      <c r="L41" s="34">
        <f t="shared" si="18"/>
        <v>36036.093500000003</v>
      </c>
      <c r="M41" s="67">
        <f t="shared" si="18"/>
        <v>1696.3665000000001</v>
      </c>
    </row>
    <row r="42" spans="2:13" x14ac:dyDescent="0.25">
      <c r="H42" s="25"/>
    </row>
    <row r="44" spans="2:13" x14ac:dyDescent="0.25">
      <c r="B44" s="65"/>
      <c r="C44" s="64"/>
      <c r="D44" s="40"/>
      <c r="E44" s="40"/>
      <c r="F44" s="66"/>
      <c r="H44" s="25"/>
    </row>
    <row r="45" spans="2:13" x14ac:dyDescent="0.25">
      <c r="B45" s="194"/>
      <c r="C45" s="194"/>
      <c r="D45" s="195"/>
      <c r="E45" s="195"/>
      <c r="F45" s="40"/>
      <c r="H45" s="25"/>
    </row>
    <row r="46" spans="2:13" x14ac:dyDescent="0.25">
      <c r="H46" s="25"/>
    </row>
    <row r="47" spans="2:13" x14ac:dyDescent="0.25">
      <c r="H47" s="25"/>
    </row>
    <row r="48" spans="2:13" x14ac:dyDescent="0.25">
      <c r="H48" s="25"/>
    </row>
    <row r="49" spans="2:8" x14ac:dyDescent="0.25">
      <c r="H49" s="25"/>
    </row>
    <row r="51" spans="2:8" x14ac:dyDescent="0.25">
      <c r="H51" s="25"/>
    </row>
    <row r="52" spans="2:8" x14ac:dyDescent="0.25">
      <c r="H52" s="25"/>
    </row>
    <row r="53" spans="2:8" x14ac:dyDescent="0.25">
      <c r="H53" s="25"/>
    </row>
    <row r="54" spans="2:8" x14ac:dyDescent="0.25">
      <c r="H54" s="25"/>
    </row>
    <row r="55" spans="2:8" x14ac:dyDescent="0.25">
      <c r="H55" s="25"/>
    </row>
    <row r="56" spans="2:8" x14ac:dyDescent="0.25">
      <c r="H56" s="25"/>
    </row>
    <row r="58" spans="2:8" x14ac:dyDescent="0.25">
      <c r="B58" s="65"/>
      <c r="C58" s="64"/>
      <c r="D58" s="40"/>
      <c r="E58" s="40"/>
      <c r="F58" s="66"/>
      <c r="H58" s="25"/>
    </row>
    <row r="59" spans="2:8" x14ac:dyDescent="0.25">
      <c r="B59" s="194"/>
      <c r="C59" s="194"/>
      <c r="D59" s="195"/>
      <c r="E59" s="195"/>
      <c r="F59" s="40"/>
      <c r="H59" s="25"/>
    </row>
    <row r="60" spans="2:8" x14ac:dyDescent="0.25">
      <c r="H60" s="25"/>
    </row>
    <row r="61" spans="2:8" x14ac:dyDescent="0.25">
      <c r="H61" s="25"/>
    </row>
    <row r="62" spans="2:8" x14ac:dyDescent="0.25">
      <c r="H62" s="25"/>
    </row>
    <row r="63" spans="2:8" x14ac:dyDescent="0.25">
      <c r="H63" s="25"/>
    </row>
  </sheetData>
  <mergeCells count="6">
    <mergeCell ref="I2:M2"/>
    <mergeCell ref="B59:C59"/>
    <mergeCell ref="D59:E59"/>
    <mergeCell ref="B45:C45"/>
    <mergeCell ref="D45:E45"/>
    <mergeCell ref="B2:E2"/>
  </mergeCells>
  <conditionalFormatting sqref="B7:G7">
    <cfRule type="expression" dxfId="53" priority="45">
      <formula>$G$2=$I$7</formula>
    </cfRule>
  </conditionalFormatting>
  <conditionalFormatting sqref="B8:G8">
    <cfRule type="expression" dxfId="52" priority="44">
      <formula>$G$2=$I$8</formula>
    </cfRule>
  </conditionalFormatting>
  <conditionalFormatting sqref="B9:G9">
    <cfRule type="expression" dxfId="51" priority="43">
      <formula>$G$2=$I$9</formula>
    </cfRule>
  </conditionalFormatting>
  <conditionalFormatting sqref="B10:G10">
    <cfRule type="expression" dxfId="50" priority="42">
      <formula>$G$2=$I$10</formula>
    </cfRule>
  </conditionalFormatting>
  <conditionalFormatting sqref="B11:G11">
    <cfRule type="expression" dxfId="49" priority="41">
      <formula>$G$2=$I$11</formula>
    </cfRule>
  </conditionalFormatting>
  <conditionalFormatting sqref="B12:G12">
    <cfRule type="expression" dxfId="48" priority="40">
      <formula>$G$2=$I$12</formula>
    </cfRule>
  </conditionalFormatting>
  <conditionalFormatting sqref="B13:G13">
    <cfRule type="expression" dxfId="47" priority="39">
      <formula>$G$2=$I$13</formula>
    </cfRule>
  </conditionalFormatting>
  <conditionalFormatting sqref="B14:G14">
    <cfRule type="expression" dxfId="46" priority="38">
      <formula>$G$2=$I$14</formula>
    </cfRule>
  </conditionalFormatting>
  <conditionalFormatting sqref="B15:G15">
    <cfRule type="expression" dxfId="45" priority="37">
      <formula>$G$2=$I$15</formula>
    </cfRule>
  </conditionalFormatting>
  <conditionalFormatting sqref="B20:G20">
    <cfRule type="expression" dxfId="44" priority="27">
      <formula>$G$2=$I$7</formula>
    </cfRule>
  </conditionalFormatting>
  <conditionalFormatting sqref="B21:G21">
    <cfRule type="expression" dxfId="43" priority="26">
      <formula>$G$2=$I$8</formula>
    </cfRule>
  </conditionalFormatting>
  <conditionalFormatting sqref="B22:G22">
    <cfRule type="expression" dxfId="42" priority="25">
      <formula>$G$2=$I$9</formula>
    </cfRule>
  </conditionalFormatting>
  <conditionalFormatting sqref="B23:G23">
    <cfRule type="expression" dxfId="41" priority="24">
      <formula>$G$2=$I$10</formula>
    </cfRule>
  </conditionalFormatting>
  <conditionalFormatting sqref="B24:G24">
    <cfRule type="expression" dxfId="40" priority="23">
      <formula>$G$2=$I$11</formula>
    </cfRule>
  </conditionalFormatting>
  <conditionalFormatting sqref="B25:G25">
    <cfRule type="expression" dxfId="39" priority="22">
      <formula>$G$2=$I$12</formula>
    </cfRule>
  </conditionalFormatting>
  <conditionalFormatting sqref="B26:G26">
    <cfRule type="expression" dxfId="38" priority="21">
      <formula>$G$2=$I$13</formula>
    </cfRule>
  </conditionalFormatting>
  <conditionalFormatting sqref="B27:G27">
    <cfRule type="expression" dxfId="37" priority="20">
      <formula>$G$2=$I$14</formula>
    </cfRule>
  </conditionalFormatting>
  <conditionalFormatting sqref="B28:G28">
    <cfRule type="expression" dxfId="36" priority="19">
      <formula>$G$2=$I$15</formula>
    </cfRule>
  </conditionalFormatting>
  <conditionalFormatting sqref="B33:G33">
    <cfRule type="expression" dxfId="35" priority="9">
      <formula>$G$2=$I$7</formula>
    </cfRule>
  </conditionalFormatting>
  <conditionalFormatting sqref="B34:G34">
    <cfRule type="expression" dxfId="34" priority="8">
      <formula>$G$2=$I$8</formula>
    </cfRule>
  </conditionalFormatting>
  <conditionalFormatting sqref="B35:G35">
    <cfRule type="expression" dxfId="33" priority="7">
      <formula>$G$2=$I$9</formula>
    </cfRule>
  </conditionalFormatting>
  <conditionalFormatting sqref="B36:G36">
    <cfRule type="expression" dxfId="32" priority="6">
      <formula>$G$2=$I$10</formula>
    </cfRule>
  </conditionalFormatting>
  <conditionalFormatting sqref="B37:G37">
    <cfRule type="expression" dxfId="31" priority="5">
      <formula>$G$2=$I$11</formula>
    </cfRule>
  </conditionalFormatting>
  <conditionalFormatting sqref="B38:G38">
    <cfRule type="expression" dxfId="30" priority="4">
      <formula>$G$2=$I$12</formula>
    </cfRule>
  </conditionalFormatting>
  <conditionalFormatting sqref="B39:G39">
    <cfRule type="expression" dxfId="29" priority="3">
      <formula>$G$2=$I$13</formula>
    </cfRule>
  </conditionalFormatting>
  <conditionalFormatting sqref="B40:G40">
    <cfRule type="expression" dxfId="28" priority="2">
      <formula>$G$2=$I$14</formula>
    </cfRule>
  </conditionalFormatting>
  <conditionalFormatting sqref="B41:G41">
    <cfRule type="expression" dxfId="27" priority="1">
      <formula>$G$2=$I$15</formula>
    </cfRule>
  </conditionalFormatting>
  <conditionalFormatting sqref="I7:M7">
    <cfRule type="expression" dxfId="26" priority="81">
      <formula>$G$2=$I$7</formula>
    </cfRule>
  </conditionalFormatting>
  <conditionalFormatting sqref="I8:M8">
    <cfRule type="expression" dxfId="25" priority="80">
      <formula>$G$2=$I$8</formula>
    </cfRule>
  </conditionalFormatting>
  <conditionalFormatting sqref="I9:M9">
    <cfRule type="expression" dxfId="24" priority="79">
      <formula>$G$2=$I$9</formula>
    </cfRule>
  </conditionalFormatting>
  <conditionalFormatting sqref="I10:M10">
    <cfRule type="expression" dxfId="23" priority="78">
      <formula>$G$2=$I$10</formula>
    </cfRule>
  </conditionalFormatting>
  <conditionalFormatting sqref="I11:M11">
    <cfRule type="expression" dxfId="22" priority="77">
      <formula>$G$2=$I$11</formula>
    </cfRule>
  </conditionalFormatting>
  <conditionalFormatting sqref="I12:M12">
    <cfRule type="expression" dxfId="21" priority="76">
      <formula>$G$2=$I$12</formula>
    </cfRule>
  </conditionalFormatting>
  <conditionalFormatting sqref="I13:M13">
    <cfRule type="expression" dxfId="20" priority="75">
      <formula>$G$2=$I$13</formula>
    </cfRule>
  </conditionalFormatting>
  <conditionalFormatting sqref="I14:M14">
    <cfRule type="expression" dxfId="19" priority="74">
      <formula>$G$2=$I$14</formula>
    </cfRule>
  </conditionalFormatting>
  <conditionalFormatting sqref="I15:M15">
    <cfRule type="expression" dxfId="18" priority="73">
      <formula>$G$2=$I$15</formula>
    </cfRule>
  </conditionalFormatting>
  <conditionalFormatting sqref="I20:M20">
    <cfRule type="expression" dxfId="17" priority="72">
      <formula>$G$2=$I$20</formula>
    </cfRule>
  </conditionalFormatting>
  <conditionalFormatting sqref="I21:M21">
    <cfRule type="expression" dxfId="16" priority="71">
      <formula>$G$2=$I$21</formula>
    </cfRule>
  </conditionalFormatting>
  <conditionalFormatting sqref="I22:M22">
    <cfRule type="expression" dxfId="15" priority="70">
      <formula>$G$2=$I$22</formula>
    </cfRule>
  </conditionalFormatting>
  <conditionalFormatting sqref="I23:M23">
    <cfRule type="expression" dxfId="14" priority="69">
      <formula>$G$2=$I$23</formula>
    </cfRule>
  </conditionalFormatting>
  <conditionalFormatting sqref="I24:M24">
    <cfRule type="expression" dxfId="13" priority="68">
      <formula>$G$2=$I$24</formula>
    </cfRule>
  </conditionalFormatting>
  <conditionalFormatting sqref="I25:M25">
    <cfRule type="expression" dxfId="12" priority="67">
      <formula>$G$2=$I$25</formula>
    </cfRule>
  </conditionalFormatting>
  <conditionalFormatting sqref="I26:M26">
    <cfRule type="expression" dxfId="11" priority="66">
      <formula>$G$2=$I$26</formula>
    </cfRule>
  </conditionalFormatting>
  <conditionalFormatting sqref="I27:M27">
    <cfRule type="expression" dxfId="10" priority="65">
      <formula>$G$2=$I$27</formula>
    </cfRule>
  </conditionalFormatting>
  <conditionalFormatting sqref="I28:M28">
    <cfRule type="expression" dxfId="9" priority="64">
      <formula>$G$2=$I$28</formula>
    </cfRule>
  </conditionalFormatting>
  <conditionalFormatting sqref="I33:M33">
    <cfRule type="expression" dxfId="8" priority="63">
      <formula>$G$2=$I$20</formula>
    </cfRule>
  </conditionalFormatting>
  <conditionalFormatting sqref="I34:M34">
    <cfRule type="expression" dxfId="7" priority="62">
      <formula>$G$2=$I$21</formula>
    </cfRule>
  </conditionalFormatting>
  <conditionalFormatting sqref="I35:M35">
    <cfRule type="expression" dxfId="6" priority="61">
      <formula>$G$2=$I$22</formula>
    </cfRule>
  </conditionalFormatting>
  <conditionalFormatting sqref="I36:M36">
    <cfRule type="expression" dxfId="5" priority="60">
      <formula>$G$2=$I$23</formula>
    </cfRule>
  </conditionalFormatting>
  <conditionalFormatting sqref="I37:M37">
    <cfRule type="expression" dxfId="4" priority="59">
      <formula>$G$2=$I$24</formula>
    </cfRule>
  </conditionalFormatting>
  <conditionalFormatting sqref="I38:M38">
    <cfRule type="expression" dxfId="3" priority="58">
      <formula>$G$2=$I$25</formula>
    </cfRule>
  </conditionalFormatting>
  <conditionalFormatting sqref="I39:M39">
    <cfRule type="expression" dxfId="2" priority="57">
      <formula>$G$2=$I$26</formula>
    </cfRule>
  </conditionalFormatting>
  <conditionalFormatting sqref="I40:M40">
    <cfRule type="expression" dxfId="1" priority="56">
      <formula>$G$2=$I$27</formula>
    </cfRule>
  </conditionalFormatting>
  <conditionalFormatting sqref="I41:M41">
    <cfRule type="expression" dxfId="0" priority="55">
      <formula>$G$2=$I$28</formula>
    </cfRule>
  </conditionalFormatting>
  <pageMargins left="0.25" right="0.25" top="0.75" bottom="0.75" header="0.3" footer="0.3"/>
  <pageSetup scale="7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R40"/>
  <sheetViews>
    <sheetView tabSelected="1" workbookViewId="0">
      <selection activeCell="P14" sqref="P14"/>
    </sheetView>
  </sheetViews>
  <sheetFormatPr defaultColWidth="9.140625" defaultRowHeight="15" x14ac:dyDescent="0.25"/>
  <cols>
    <col min="1" max="1" width="2.28515625" customWidth="1"/>
    <col min="2" max="2" width="11.7109375" customWidth="1"/>
    <col min="3" max="3" width="10.7109375" bestFit="1" customWidth="1"/>
    <col min="4" max="4" width="13.28515625" customWidth="1"/>
    <col min="5" max="5" width="17" customWidth="1"/>
    <col min="6" max="6" width="4.5703125" customWidth="1"/>
    <col min="7" max="7" width="10" customWidth="1"/>
    <col min="8" max="9" width="14.85546875" customWidth="1"/>
    <col min="11" max="11" width="11" customWidth="1"/>
    <col min="12" max="12" width="14.42578125" customWidth="1"/>
    <col min="13" max="13" width="13.85546875" customWidth="1"/>
    <col min="14" max="14" width="3.140625" customWidth="1"/>
    <col min="15" max="15" width="10.5703125" customWidth="1"/>
    <col min="16" max="16" width="12.7109375" customWidth="1"/>
    <col min="17" max="17" width="14.140625" customWidth="1"/>
    <col min="18" max="18" width="3.140625" customWidth="1"/>
  </cols>
  <sheetData>
    <row r="2" spans="2:18" x14ac:dyDescent="0.25">
      <c r="B2" s="78" t="s">
        <v>71</v>
      </c>
      <c r="C2" s="79"/>
      <c r="D2" s="80"/>
      <c r="E2" s="80"/>
      <c r="F2" s="80"/>
      <c r="G2" s="79"/>
      <c r="H2" s="79"/>
      <c r="I2" s="80"/>
      <c r="J2" s="81"/>
      <c r="K2" s="82"/>
      <c r="L2" s="83"/>
      <c r="M2" s="80"/>
      <c r="N2" s="80"/>
      <c r="O2" s="79"/>
      <c r="P2" s="79"/>
      <c r="Q2" s="79"/>
      <c r="R2" s="84"/>
    </row>
    <row r="3" spans="2:18" x14ac:dyDescent="0.25">
      <c r="B3" s="85" t="s">
        <v>105</v>
      </c>
      <c r="C3" s="24"/>
      <c r="G3" s="86" t="s">
        <v>69</v>
      </c>
      <c r="H3" s="24"/>
      <c r="I3" t="s">
        <v>76</v>
      </c>
      <c r="J3" s="87"/>
      <c r="K3" s="24" t="s">
        <v>77</v>
      </c>
      <c r="L3" t="s">
        <v>78</v>
      </c>
      <c r="O3" s="24"/>
      <c r="P3" s="24"/>
      <c r="Q3" s="24"/>
      <c r="R3" s="88"/>
    </row>
    <row r="4" spans="2:18" x14ac:dyDescent="0.25">
      <c r="B4" s="89">
        <v>45204</v>
      </c>
      <c r="C4" s="152">
        <f t="shared" ref="C4:C7" si="0">IF(B4="","",YEAR(B4))</f>
        <v>2023</v>
      </c>
      <c r="D4" s="90" t="s">
        <v>53</v>
      </c>
      <c r="E4" s="91" t="s">
        <v>79</v>
      </c>
      <c r="F4" s="92"/>
      <c r="G4" s="90" t="s">
        <v>80</v>
      </c>
      <c r="H4" s="92" t="s">
        <v>81</v>
      </c>
      <c r="I4" s="93">
        <v>-1007.2</v>
      </c>
      <c r="J4" s="94">
        <v>0</v>
      </c>
      <c r="K4" s="93">
        <v>0</v>
      </c>
      <c r="L4" s="95">
        <f>I4+K4</f>
        <v>-1007.2</v>
      </c>
      <c r="M4" s="96" t="s">
        <v>82</v>
      </c>
      <c r="N4" s="96"/>
      <c r="O4" s="97" t="s">
        <v>83</v>
      </c>
      <c r="P4" s="98" t="s">
        <v>84</v>
      </c>
      <c r="Q4" s="98" t="s">
        <v>85</v>
      </c>
      <c r="R4" s="99"/>
    </row>
    <row r="5" spans="2:18" x14ac:dyDescent="0.25">
      <c r="B5" s="89">
        <v>45204</v>
      </c>
      <c r="C5" s="152">
        <f t="shared" si="0"/>
        <v>2023</v>
      </c>
      <c r="D5" s="90" t="s">
        <v>53</v>
      </c>
      <c r="E5" s="91" t="s">
        <v>79</v>
      </c>
      <c r="F5" s="92"/>
      <c r="G5" s="90" t="s">
        <v>80</v>
      </c>
      <c r="H5" s="92" t="s">
        <v>81</v>
      </c>
      <c r="I5" s="93">
        <v>-1200.77</v>
      </c>
      <c r="J5" s="94">
        <v>0</v>
      </c>
      <c r="K5" s="93">
        <v>0</v>
      </c>
      <c r="L5" s="95">
        <f t="shared" ref="L5:L7" si="1">I5+K5</f>
        <v>-1200.77</v>
      </c>
      <c r="M5" s="96" t="s">
        <v>82</v>
      </c>
      <c r="N5" s="96"/>
      <c r="O5" s="97" t="s">
        <v>83</v>
      </c>
      <c r="P5" s="98" t="s">
        <v>84</v>
      </c>
      <c r="Q5" s="98" t="s">
        <v>85</v>
      </c>
      <c r="R5" s="99"/>
    </row>
    <row r="6" spans="2:18" x14ac:dyDescent="0.25">
      <c r="B6" s="89">
        <v>45274</v>
      </c>
      <c r="C6" s="152">
        <f t="shared" si="0"/>
        <v>2023</v>
      </c>
      <c r="D6" s="90" t="s">
        <v>53</v>
      </c>
      <c r="E6" s="91" t="s">
        <v>79</v>
      </c>
      <c r="F6" s="92"/>
      <c r="G6" s="90" t="s">
        <v>80</v>
      </c>
      <c r="H6" s="92" t="s">
        <v>81</v>
      </c>
      <c r="I6" s="93">
        <v>-2183.6799999999998</v>
      </c>
      <c r="J6" s="94">
        <v>0</v>
      </c>
      <c r="K6" s="93">
        <v>0</v>
      </c>
      <c r="L6" s="95">
        <f t="shared" si="1"/>
        <v>-2183.6799999999998</v>
      </c>
      <c r="M6" s="96" t="s">
        <v>82</v>
      </c>
      <c r="N6" s="96"/>
      <c r="O6" s="97" t="s">
        <v>83</v>
      </c>
      <c r="P6" s="98" t="s">
        <v>84</v>
      </c>
      <c r="Q6" s="98" t="s">
        <v>85</v>
      </c>
      <c r="R6" s="99"/>
    </row>
    <row r="7" spans="2:18" x14ac:dyDescent="0.25">
      <c r="B7" s="89">
        <v>45401</v>
      </c>
      <c r="C7" s="152">
        <f t="shared" si="0"/>
        <v>2024</v>
      </c>
      <c r="D7" s="90" t="s">
        <v>53</v>
      </c>
      <c r="E7" s="91" t="s">
        <v>79</v>
      </c>
      <c r="F7" s="92"/>
      <c r="G7" s="90" t="s">
        <v>80</v>
      </c>
      <c r="H7" s="92" t="s">
        <v>81</v>
      </c>
      <c r="I7" s="93">
        <v>-3003.26</v>
      </c>
      <c r="J7" s="94">
        <v>0</v>
      </c>
      <c r="K7" s="93">
        <v>0</v>
      </c>
      <c r="L7" s="95">
        <f t="shared" si="1"/>
        <v>-3003.26</v>
      </c>
      <c r="M7" s="96" t="s">
        <v>103</v>
      </c>
      <c r="N7" s="96"/>
      <c r="O7" s="97" t="s">
        <v>83</v>
      </c>
      <c r="P7" s="98" t="s">
        <v>104</v>
      </c>
      <c r="Q7" s="98" t="s">
        <v>85</v>
      </c>
      <c r="R7" s="99"/>
    </row>
    <row r="8" spans="2:18" x14ac:dyDescent="0.25">
      <c r="B8" s="100"/>
      <c r="C8" s="24"/>
      <c r="F8" s="24"/>
      <c r="H8" s="24"/>
      <c r="I8" s="101">
        <f>SUM(I4:I7)</f>
        <v>-7394.91</v>
      </c>
      <c r="J8" s="87"/>
      <c r="K8" s="102"/>
      <c r="L8" s="103">
        <f>SUM(L4:L7)</f>
        <v>-7394.91</v>
      </c>
      <c r="O8" s="24"/>
      <c r="P8" s="24"/>
      <c r="Q8" s="24"/>
      <c r="R8" s="88"/>
    </row>
    <row r="9" spans="2:18" x14ac:dyDescent="0.25">
      <c r="B9" s="85" t="s">
        <v>72</v>
      </c>
      <c r="C9" s="24"/>
      <c r="F9" s="24"/>
      <c r="H9" s="24"/>
      <c r="J9" s="87"/>
      <c r="K9" s="102"/>
      <c r="L9" s="104"/>
      <c r="O9" s="24"/>
      <c r="P9" s="24"/>
      <c r="Q9" s="24"/>
      <c r="R9" s="88"/>
    </row>
    <row r="10" spans="2:18" x14ac:dyDescent="0.25">
      <c r="B10" s="85" t="s">
        <v>73</v>
      </c>
      <c r="C10" s="24"/>
      <c r="F10" s="24"/>
      <c r="G10" s="86" t="s">
        <v>66</v>
      </c>
      <c r="H10" s="24"/>
      <c r="I10" t="s">
        <v>76</v>
      </c>
      <c r="J10" s="87"/>
      <c r="K10" s="24" t="s">
        <v>77</v>
      </c>
      <c r="L10" t="s">
        <v>78</v>
      </c>
      <c r="O10" s="24"/>
      <c r="P10" s="24"/>
      <c r="Q10" s="24"/>
      <c r="R10" s="88"/>
    </row>
    <row r="11" spans="2:18" x14ac:dyDescent="0.25">
      <c r="B11" s="105">
        <v>44743</v>
      </c>
      <c r="C11" s="152">
        <f t="shared" ref="C11:C13" si="2">IF(B11="","",YEAR(B11))</f>
        <v>2022</v>
      </c>
      <c r="D11" s="106" t="s">
        <v>53</v>
      </c>
      <c r="E11" s="107" t="s">
        <v>86</v>
      </c>
      <c r="F11" s="108"/>
      <c r="G11" s="106" t="s">
        <v>87</v>
      </c>
      <c r="H11" s="108" t="s">
        <v>88</v>
      </c>
      <c r="I11" s="93">
        <v>-25512.82</v>
      </c>
      <c r="J11" s="94">
        <v>0.17</v>
      </c>
      <c r="K11" s="93">
        <f>I11*J11</f>
        <v>-4337.1794</v>
      </c>
      <c r="L11" s="93">
        <f t="shared" ref="L11:L13" si="3">I11+K11</f>
        <v>-29849.999400000001</v>
      </c>
      <c r="O11" s="24" t="s">
        <v>89</v>
      </c>
      <c r="P11" s="24" t="s">
        <v>89</v>
      </c>
      <c r="Q11" s="24" t="s">
        <v>85</v>
      </c>
      <c r="R11" s="88"/>
    </row>
    <row r="12" spans="2:18" x14ac:dyDescent="0.25">
      <c r="B12" s="105">
        <v>44743</v>
      </c>
      <c r="C12" s="152">
        <f t="shared" si="2"/>
        <v>2022</v>
      </c>
      <c r="D12" s="106" t="s">
        <v>53</v>
      </c>
      <c r="E12" s="107" t="s">
        <v>86</v>
      </c>
      <c r="F12" s="108"/>
      <c r="G12" s="106" t="s">
        <v>87</v>
      </c>
      <c r="H12" s="108" t="s">
        <v>88</v>
      </c>
      <c r="I12" s="93">
        <v>-50</v>
      </c>
      <c r="J12" s="94">
        <v>0</v>
      </c>
      <c r="K12" s="93">
        <f>I12*J12</f>
        <v>0</v>
      </c>
      <c r="L12" s="93">
        <f t="shared" si="3"/>
        <v>-50</v>
      </c>
      <c r="O12" s="24" t="s">
        <v>89</v>
      </c>
      <c r="P12" s="24" t="s">
        <v>89</v>
      </c>
      <c r="Q12" s="24" t="s">
        <v>85</v>
      </c>
      <c r="R12" s="88"/>
    </row>
    <row r="13" spans="2:18" x14ac:dyDescent="0.25">
      <c r="B13" s="105">
        <v>45041</v>
      </c>
      <c r="C13" s="152">
        <f t="shared" si="2"/>
        <v>2023</v>
      </c>
      <c r="D13" s="106" t="s">
        <v>53</v>
      </c>
      <c r="E13" s="107" t="s">
        <v>90</v>
      </c>
      <c r="F13" s="108"/>
      <c r="G13" s="106" t="s">
        <v>91</v>
      </c>
      <c r="H13" s="108" t="s">
        <v>88</v>
      </c>
      <c r="I13" s="93">
        <v>8000</v>
      </c>
      <c r="J13" s="94">
        <v>0</v>
      </c>
      <c r="K13" s="93">
        <f>I13*J13</f>
        <v>0</v>
      </c>
      <c r="L13" s="204">
        <f t="shared" si="3"/>
        <v>8000</v>
      </c>
      <c r="O13" s="24" t="s">
        <v>89</v>
      </c>
      <c r="P13" s="24" t="s">
        <v>89</v>
      </c>
      <c r="Q13" s="24" t="s">
        <v>85</v>
      </c>
      <c r="R13" s="88"/>
    </row>
    <row r="14" spans="2:18" x14ac:dyDescent="0.25">
      <c r="B14" s="105">
        <v>46122</v>
      </c>
      <c r="C14" s="152">
        <f t="shared" ref="C14" si="4">IF(B14="","",YEAR(B14))</f>
        <v>2026</v>
      </c>
      <c r="D14" s="106" t="s">
        <v>53</v>
      </c>
      <c r="E14" s="107" t="s">
        <v>146</v>
      </c>
      <c r="F14" s="108"/>
      <c r="G14" s="106" t="s">
        <v>87</v>
      </c>
      <c r="H14" s="108" t="s">
        <v>88</v>
      </c>
      <c r="I14" s="93">
        <v>-33927.230000000003</v>
      </c>
      <c r="J14" s="94">
        <v>0.17</v>
      </c>
      <c r="K14" s="93">
        <f>I14*J14</f>
        <v>-5767.629100000001</v>
      </c>
      <c r="L14" s="93">
        <f t="shared" ref="L14" si="5">I14+K14</f>
        <v>-39694.859100000001</v>
      </c>
      <c r="O14" s="24" t="s">
        <v>89</v>
      </c>
      <c r="P14" s="24" t="s">
        <v>89</v>
      </c>
      <c r="Q14" s="24" t="s">
        <v>85</v>
      </c>
      <c r="R14" s="88"/>
    </row>
    <row r="15" spans="2:18" x14ac:dyDescent="0.25">
      <c r="B15" s="100"/>
      <c r="C15" s="24"/>
      <c r="F15" s="24"/>
      <c r="H15" s="24"/>
      <c r="I15" s="101">
        <f>SUBTOTAL(9,I11:I14)</f>
        <v>-51490.05</v>
      </c>
      <c r="J15" s="87"/>
      <c r="K15" s="102"/>
      <c r="L15" s="103">
        <f>SUM(L11:L14)</f>
        <v>-61594.858500000002</v>
      </c>
      <c r="O15" s="24"/>
      <c r="P15" s="24"/>
      <c r="Q15" s="24"/>
      <c r="R15" s="88"/>
    </row>
    <row r="16" spans="2:18" x14ac:dyDescent="0.25">
      <c r="B16" s="85" t="s">
        <v>72</v>
      </c>
      <c r="I16" s="80"/>
      <c r="L16" s="80"/>
      <c r="R16" s="109"/>
    </row>
    <row r="17" spans="2:18" x14ac:dyDescent="0.25">
      <c r="B17" s="110" t="s">
        <v>74</v>
      </c>
      <c r="C17" s="24"/>
      <c r="E17" s="86"/>
      <c r="F17" s="24"/>
      <c r="G17" s="86" t="s">
        <v>92</v>
      </c>
      <c r="H17" s="24"/>
      <c r="I17" t="s">
        <v>76</v>
      </c>
      <c r="J17" s="87"/>
      <c r="K17" s="24" t="s">
        <v>77</v>
      </c>
      <c r="L17" t="s">
        <v>78</v>
      </c>
      <c r="O17" s="24"/>
      <c r="P17" s="24"/>
      <c r="Q17" s="24"/>
      <c r="R17" s="88"/>
    </row>
    <row r="18" spans="2:18" x14ac:dyDescent="0.25">
      <c r="B18" s="111">
        <v>44608</v>
      </c>
      <c r="C18" s="152">
        <f t="shared" ref="C18:C21" si="6">IF(B18="","",YEAR(B18))</f>
        <v>2022</v>
      </c>
      <c r="D18" s="106" t="s">
        <v>53</v>
      </c>
      <c r="E18" s="107" t="s">
        <v>50</v>
      </c>
      <c r="F18" s="108"/>
      <c r="G18" s="106" t="s">
        <v>93</v>
      </c>
      <c r="H18" s="108" t="s">
        <v>81</v>
      </c>
      <c r="I18" s="112">
        <v>-1520</v>
      </c>
      <c r="J18" s="94">
        <v>0</v>
      </c>
      <c r="K18" s="113">
        <v>0</v>
      </c>
      <c r="L18" s="93">
        <v>-1520</v>
      </c>
      <c r="O18" s="24" t="s">
        <v>89</v>
      </c>
      <c r="P18" s="24" t="s">
        <v>89</v>
      </c>
      <c r="Q18" s="24" t="s">
        <v>85</v>
      </c>
      <c r="R18" s="88"/>
    </row>
    <row r="19" spans="2:18" x14ac:dyDescent="0.25">
      <c r="B19" s="111">
        <v>44743</v>
      </c>
      <c r="C19" s="152">
        <f t="shared" si="6"/>
        <v>2022</v>
      </c>
      <c r="D19" s="106" t="s">
        <v>53</v>
      </c>
      <c r="E19" s="107" t="s">
        <v>50</v>
      </c>
      <c r="F19" s="108"/>
      <c r="G19" s="106" t="s">
        <v>93</v>
      </c>
      <c r="H19" s="108" t="s">
        <v>81</v>
      </c>
      <c r="I19" s="112">
        <v>-1074.06</v>
      </c>
      <c r="J19" s="94">
        <v>0</v>
      </c>
      <c r="K19" s="113">
        <v>0</v>
      </c>
      <c r="L19" s="93">
        <v>-1074.06</v>
      </c>
      <c r="O19" s="24" t="s">
        <v>89</v>
      </c>
      <c r="P19" s="24" t="s">
        <v>89</v>
      </c>
      <c r="Q19" s="24" t="s">
        <v>85</v>
      </c>
      <c r="R19" s="88"/>
    </row>
    <row r="20" spans="2:18" x14ac:dyDescent="0.25">
      <c r="B20" s="111">
        <v>44681</v>
      </c>
      <c r="C20" s="152">
        <f t="shared" si="6"/>
        <v>2022</v>
      </c>
      <c r="D20" s="106" t="s">
        <v>53</v>
      </c>
      <c r="E20" s="107" t="s">
        <v>50</v>
      </c>
      <c r="F20" s="108"/>
      <c r="G20" s="106" t="s">
        <v>93</v>
      </c>
      <c r="H20" s="108" t="s">
        <v>81</v>
      </c>
      <c r="I20" s="112">
        <v>-3541.67</v>
      </c>
      <c r="J20" s="94">
        <v>0</v>
      </c>
      <c r="K20" s="113">
        <v>0</v>
      </c>
      <c r="L20" s="112">
        <v>-3541.67</v>
      </c>
      <c r="M20" s="96" t="s">
        <v>94</v>
      </c>
      <c r="N20" s="96"/>
      <c r="O20" s="97" t="s">
        <v>83</v>
      </c>
      <c r="P20" s="114" t="s">
        <v>95</v>
      </c>
      <c r="Q20" s="114" t="s">
        <v>85</v>
      </c>
      <c r="R20" s="88"/>
    </row>
    <row r="21" spans="2:18" x14ac:dyDescent="0.25">
      <c r="B21" s="111">
        <v>44664</v>
      </c>
      <c r="C21" s="152">
        <f t="shared" si="6"/>
        <v>2022</v>
      </c>
      <c r="D21" s="106" t="s">
        <v>53</v>
      </c>
      <c r="E21" s="107" t="s">
        <v>96</v>
      </c>
      <c r="F21" s="108"/>
      <c r="G21" s="106" t="s">
        <v>93</v>
      </c>
      <c r="H21" s="108" t="s">
        <v>81</v>
      </c>
      <c r="I21" s="112">
        <v>-1020</v>
      </c>
      <c r="J21" s="94">
        <v>0</v>
      </c>
      <c r="K21" s="113">
        <v>0</v>
      </c>
      <c r="L21" s="112">
        <v>-1020</v>
      </c>
      <c r="M21" s="96" t="s">
        <v>94</v>
      </c>
      <c r="N21" s="96"/>
      <c r="O21" s="97" t="s">
        <v>83</v>
      </c>
      <c r="P21" s="114" t="s">
        <v>95</v>
      </c>
      <c r="Q21" s="114" t="s">
        <v>85</v>
      </c>
      <c r="R21" s="88"/>
    </row>
    <row r="22" spans="2:18" x14ac:dyDescent="0.25">
      <c r="B22" s="111">
        <v>44691</v>
      </c>
      <c r="C22" s="152">
        <f>IF(B22="","",YEAR(B22))</f>
        <v>2022</v>
      </c>
      <c r="D22" s="106" t="s">
        <v>53</v>
      </c>
      <c r="E22" s="107" t="s">
        <v>97</v>
      </c>
      <c r="F22" s="108"/>
      <c r="G22" s="106" t="s">
        <v>93</v>
      </c>
      <c r="H22" s="108" t="s">
        <v>81</v>
      </c>
      <c r="I22" s="112">
        <v>-1403.31</v>
      </c>
      <c r="J22" s="94">
        <v>0</v>
      </c>
      <c r="K22" s="113">
        <v>0</v>
      </c>
      <c r="L22" s="112">
        <v>-1403.31</v>
      </c>
      <c r="M22" s="96" t="s">
        <v>94</v>
      </c>
      <c r="N22" s="96"/>
      <c r="O22" s="97" t="s">
        <v>83</v>
      </c>
      <c r="P22" s="114" t="s">
        <v>95</v>
      </c>
      <c r="Q22" s="114" t="s">
        <v>85</v>
      </c>
      <c r="R22" s="88"/>
    </row>
    <row r="23" spans="2:18" x14ac:dyDescent="0.25">
      <c r="B23" s="111">
        <v>45839</v>
      </c>
      <c r="C23" s="152">
        <f>IF(B23="","",YEAR(B23))</f>
        <v>2025</v>
      </c>
      <c r="D23" s="106" t="s">
        <v>53</v>
      </c>
      <c r="E23" s="107" t="s">
        <v>138</v>
      </c>
      <c r="F23" s="108"/>
      <c r="G23" s="106" t="s">
        <v>93</v>
      </c>
      <c r="H23" s="108" t="s">
        <v>81</v>
      </c>
      <c r="I23" s="93">
        <v>-769.23</v>
      </c>
      <c r="J23" s="94">
        <v>0.17</v>
      </c>
      <c r="K23" s="93">
        <f>I23*J23</f>
        <v>-130.76910000000001</v>
      </c>
      <c r="L23" s="93">
        <f t="shared" ref="L23" si="7">I23+K23</f>
        <v>-899.9991</v>
      </c>
      <c r="M23" s="96" t="s">
        <v>139</v>
      </c>
      <c r="N23" s="96"/>
      <c r="O23" s="97" t="s">
        <v>83</v>
      </c>
      <c r="P23" s="114" t="s">
        <v>140</v>
      </c>
      <c r="Q23" s="114" t="s">
        <v>85</v>
      </c>
      <c r="R23" s="88"/>
    </row>
    <row r="24" spans="2:18" x14ac:dyDescent="0.25">
      <c r="B24" s="111">
        <v>45857</v>
      </c>
      <c r="C24" s="152">
        <f>IF(B24="","",YEAR(B24))</f>
        <v>2025</v>
      </c>
      <c r="D24" s="106" t="s">
        <v>53</v>
      </c>
      <c r="E24" s="107" t="s">
        <v>138</v>
      </c>
      <c r="F24" s="108"/>
      <c r="G24" s="106" t="s">
        <v>93</v>
      </c>
      <c r="H24" s="108" t="s">
        <v>81</v>
      </c>
      <c r="I24" s="93">
        <v>-3035.9</v>
      </c>
      <c r="J24" s="94">
        <v>0.17</v>
      </c>
      <c r="K24" s="93">
        <f>I24*J24</f>
        <v>-516.10300000000007</v>
      </c>
      <c r="L24" s="93">
        <f t="shared" ref="L24" si="8">I24+K24</f>
        <v>-3552.0030000000002</v>
      </c>
      <c r="M24" s="96" t="s">
        <v>139</v>
      </c>
      <c r="N24" s="96"/>
      <c r="O24" s="97" t="s">
        <v>83</v>
      </c>
      <c r="P24" s="114" t="s">
        <v>140</v>
      </c>
      <c r="Q24" s="114" t="s">
        <v>85</v>
      </c>
      <c r="R24" s="88"/>
    </row>
    <row r="25" spans="2:18" x14ac:dyDescent="0.25">
      <c r="B25" s="100"/>
      <c r="C25" s="24"/>
      <c r="G25" s="24"/>
      <c r="H25" s="24"/>
      <c r="I25" s="101">
        <f>SUM(I18:I24)</f>
        <v>-12364.169999999998</v>
      </c>
      <c r="J25" s="87"/>
      <c r="K25" s="102"/>
      <c r="L25" s="103">
        <f>SUBTOTAL(9,L18:L24)</f>
        <v>-13011.042099999999</v>
      </c>
      <c r="O25" s="24"/>
      <c r="P25" s="24"/>
      <c r="Q25" s="24"/>
      <c r="R25" s="88"/>
    </row>
    <row r="26" spans="2:18" x14ac:dyDescent="0.25">
      <c r="B26" s="100"/>
      <c r="C26" s="24"/>
      <c r="G26" s="24"/>
      <c r="H26" s="24"/>
      <c r="J26" s="87"/>
      <c r="K26" s="102"/>
      <c r="O26" s="24"/>
      <c r="P26" s="24"/>
      <c r="Q26" s="24"/>
      <c r="R26" s="88"/>
    </row>
    <row r="27" spans="2:18" x14ac:dyDescent="0.25">
      <c r="B27" s="100"/>
      <c r="C27" s="102"/>
      <c r="D27" s="197" t="s">
        <v>98</v>
      </c>
      <c r="E27" s="198"/>
      <c r="G27" s="24"/>
      <c r="H27" s="197" t="s">
        <v>99</v>
      </c>
      <c r="I27" s="198"/>
      <c r="J27" s="87"/>
      <c r="K27" s="24"/>
      <c r="L27" s="199" t="s">
        <v>100</v>
      </c>
      <c r="M27" s="200"/>
      <c r="N27" s="115"/>
      <c r="O27" s="102"/>
      <c r="P27" s="201" t="s">
        <v>101</v>
      </c>
      <c r="Q27" s="202"/>
      <c r="R27" s="88"/>
    </row>
    <row r="28" spans="2:18" ht="47.25" customHeight="1" x14ac:dyDescent="0.25">
      <c r="B28" s="116"/>
      <c r="C28" s="102"/>
      <c r="D28" s="117" t="s">
        <v>142</v>
      </c>
      <c r="E28" s="117" t="s">
        <v>13</v>
      </c>
      <c r="G28" s="24"/>
      <c r="H28" s="117" t="s">
        <v>142</v>
      </c>
      <c r="I28" s="117" t="s">
        <v>13</v>
      </c>
      <c r="J28" s="87"/>
      <c r="K28" s="24"/>
      <c r="L28" s="117" t="s">
        <v>142</v>
      </c>
      <c r="M28" s="117" t="s">
        <v>13</v>
      </c>
      <c r="N28" s="118"/>
      <c r="O28" s="102"/>
      <c r="P28" s="117" t="s">
        <v>142</v>
      </c>
      <c r="Q28" s="117" t="s">
        <v>13</v>
      </c>
      <c r="R28" s="88"/>
    </row>
    <row r="29" spans="2:18" x14ac:dyDescent="0.25">
      <c r="B29" s="116"/>
      <c r="C29" s="102"/>
      <c r="D29" s="119"/>
      <c r="E29" s="120">
        <f>-I8</f>
        <v>7394.91</v>
      </c>
      <c r="G29" s="24"/>
      <c r="H29" s="119"/>
      <c r="I29" s="120">
        <f>-I15</f>
        <v>51490.05</v>
      </c>
      <c r="K29" s="121"/>
      <c r="L29" s="119"/>
      <c r="M29" s="120">
        <f>-I25</f>
        <v>12364.169999999998</v>
      </c>
      <c r="N29" s="122"/>
      <c r="O29" s="102"/>
      <c r="P29" s="123"/>
      <c r="Q29" s="120">
        <f>M29+I29+E29</f>
        <v>71249.13</v>
      </c>
      <c r="R29" s="88"/>
    </row>
    <row r="30" spans="2:18" x14ac:dyDescent="0.25">
      <c r="B30" s="116"/>
      <c r="C30" s="121">
        <v>2022</v>
      </c>
      <c r="D30" s="119">
        <f>-'AMM A,B,C'!D7</f>
        <v>0</v>
      </c>
      <c r="E30" s="124">
        <v>0</v>
      </c>
      <c r="G30" s="121">
        <v>2022</v>
      </c>
      <c r="H30" s="119">
        <f>-'AMM A,B,C'!D20</f>
        <v>-1756.2820000000002</v>
      </c>
      <c r="I30" s="124">
        <f>I29+H30</f>
        <v>49733.768000000004</v>
      </c>
      <c r="K30" s="121">
        <v>2022</v>
      </c>
      <c r="L30" s="119">
        <f>-'AMM A,B,C'!D33</f>
        <v>-1174.1354555555554</v>
      </c>
      <c r="M30" s="124">
        <f>M29+L30</f>
        <v>11190.034544444443</v>
      </c>
      <c r="N30" s="125"/>
      <c r="O30" s="121">
        <v>2022</v>
      </c>
      <c r="P30" s="126">
        <f>+L30+H30+D30</f>
        <v>-2930.4174555555555</v>
      </c>
      <c r="Q30" s="120">
        <f>Q29+P30</f>
        <v>68318.712544444454</v>
      </c>
      <c r="R30" s="88"/>
    </row>
    <row r="31" spans="2:18" x14ac:dyDescent="0.25">
      <c r="B31" s="100"/>
      <c r="C31" s="127">
        <v>2023</v>
      </c>
      <c r="D31" s="128">
        <f>-'AMM A,B,C'!D8</f>
        <v>-195.97162037037035</v>
      </c>
      <c r="E31" s="129">
        <f>E29+D31</f>
        <v>7198.9383796296297</v>
      </c>
      <c r="G31" s="127">
        <v>2023</v>
      </c>
      <c r="H31" s="128">
        <f>-'AMM A,B,C'!D21</f>
        <v>-3512.5639999999999</v>
      </c>
      <c r="I31" s="129">
        <f>I30+H31</f>
        <v>46221.204000000005</v>
      </c>
      <c r="K31" s="127">
        <v>2023</v>
      </c>
      <c r="L31" s="128">
        <f>-'AMM A,B,C'!D34</f>
        <v>-1711.808</v>
      </c>
      <c r="M31" s="129">
        <f>M30+L31</f>
        <v>9478.226544444442</v>
      </c>
      <c r="N31" s="125"/>
      <c r="O31" s="127">
        <v>2023</v>
      </c>
      <c r="P31" s="130">
        <f>+L31+H31+D31</f>
        <v>-5420.3436203703695</v>
      </c>
      <c r="Q31" s="130">
        <f t="shared" ref="P31:Q38" si="9">+M31+I31+E31</f>
        <v>62898.368924074079</v>
      </c>
      <c r="R31" s="88"/>
    </row>
    <row r="32" spans="2:18" x14ac:dyDescent="0.25">
      <c r="B32" s="100"/>
      <c r="C32" s="127">
        <v>2024</v>
      </c>
      <c r="D32" s="128">
        <f>-'AMM A,B,C'!D9</f>
        <v>-2161.8632037037037</v>
      </c>
      <c r="E32" s="129">
        <f>E31+D32</f>
        <v>5037.0751759259256</v>
      </c>
      <c r="G32" s="127">
        <v>2024</v>
      </c>
      <c r="H32" s="128">
        <f>-'AMM A,B,C'!D22</f>
        <v>-3512.5639999999999</v>
      </c>
      <c r="I32" s="129">
        <f t="shared" ref="I32:I38" si="10">I31+H32</f>
        <v>42708.640000000007</v>
      </c>
      <c r="K32" s="127">
        <v>2024</v>
      </c>
      <c r="L32" s="128">
        <f>-'AMM A,B,C'!D35</f>
        <v>-1711.808</v>
      </c>
      <c r="M32" s="129">
        <f>M31+L32</f>
        <v>7766.418544444442</v>
      </c>
      <c r="N32" s="125"/>
      <c r="O32" s="127">
        <v>2024</v>
      </c>
      <c r="P32" s="130">
        <f>+L32+H32+D32</f>
        <v>-7386.2352037037035</v>
      </c>
      <c r="Q32" s="130">
        <f>+M32+I32+E32</f>
        <v>55512.133720370373</v>
      </c>
      <c r="R32" s="88"/>
    </row>
    <row r="33" spans="2:18" x14ac:dyDescent="0.25">
      <c r="B33" s="100"/>
      <c r="C33" s="127">
        <v>2025</v>
      </c>
      <c r="D33" s="128">
        <f>-'AMM A,B,C'!D10</f>
        <v>-2464.9699999999998</v>
      </c>
      <c r="E33" s="129">
        <f t="shared" ref="E33:E37" si="11">E32+D33</f>
        <v>2572.1051759259258</v>
      </c>
      <c r="G33" s="127">
        <v>2025</v>
      </c>
      <c r="H33" s="128">
        <f>-'AMM A,B,C'!D23</f>
        <v>-3512.5639999999999</v>
      </c>
      <c r="I33" s="129">
        <f t="shared" si="10"/>
        <v>39196.076000000008</v>
      </c>
      <c r="K33" s="127">
        <v>2025</v>
      </c>
      <c r="L33" s="128">
        <f>-'AMM A,B,C'!D36</f>
        <v>-2092.3209999999999</v>
      </c>
      <c r="M33" s="129">
        <f t="shared" ref="M33:M38" si="12">M32+L33</f>
        <v>5674.0975444444421</v>
      </c>
      <c r="N33" s="125"/>
      <c r="O33" s="127">
        <v>2025</v>
      </c>
      <c r="P33" s="130">
        <f>+L33+H33+D33</f>
        <v>-8069.8549999999996</v>
      </c>
      <c r="Q33" s="130">
        <f t="shared" si="9"/>
        <v>47442.278720370377</v>
      </c>
      <c r="R33" s="88"/>
    </row>
    <row r="34" spans="2:18" x14ac:dyDescent="0.25">
      <c r="B34" s="100"/>
      <c r="C34" s="131">
        <v>2026</v>
      </c>
      <c r="D34" s="132">
        <f>-'AMM A,B,C'!D11</f>
        <v>-2268.9983796296297</v>
      </c>
      <c r="E34" s="133">
        <f t="shared" si="11"/>
        <v>303.10679629629612</v>
      </c>
      <c r="G34" s="131">
        <v>2026</v>
      </c>
      <c r="H34" s="132">
        <f>-'AMM A,B,C'!D24</f>
        <v>-8601.6635000000006</v>
      </c>
      <c r="I34" s="133">
        <f t="shared" si="10"/>
        <v>30594.412500000006</v>
      </c>
      <c r="K34" s="131">
        <v>2026</v>
      </c>
      <c r="L34" s="132">
        <f>-'AMM A,B,C'!D37</f>
        <v>-2472.8339999999998</v>
      </c>
      <c r="M34" s="133">
        <f t="shared" si="12"/>
        <v>3201.2635444444422</v>
      </c>
      <c r="N34" s="125"/>
      <c r="O34" s="131">
        <v>2026</v>
      </c>
      <c r="P34" s="134">
        <f t="shared" si="9"/>
        <v>-13343.495879629631</v>
      </c>
      <c r="Q34" s="134">
        <f t="shared" si="9"/>
        <v>34098.782840740751</v>
      </c>
      <c r="R34" s="88"/>
    </row>
    <row r="35" spans="2:18" x14ac:dyDescent="0.25">
      <c r="B35" s="100"/>
      <c r="C35" s="131">
        <v>2027</v>
      </c>
      <c r="D35" s="132">
        <f>-'AMM A,B,C'!D12</f>
        <v>-303.1067962962963</v>
      </c>
      <c r="E35" s="133">
        <f t="shared" si="11"/>
        <v>0</v>
      </c>
      <c r="G35" s="131">
        <v>2027</v>
      </c>
      <c r="H35" s="132">
        <f>-'AMM A,B,C'!D25</f>
        <v>-8541.7479999999996</v>
      </c>
      <c r="I35" s="133">
        <f t="shared" si="10"/>
        <v>22052.664500000006</v>
      </c>
      <c r="K35" s="131">
        <v>2027</v>
      </c>
      <c r="L35" s="132">
        <f>-'AMM A,B,C'!D38</f>
        <v>-1298.6985444444445</v>
      </c>
      <c r="M35" s="133">
        <f t="shared" si="12"/>
        <v>1902.5649999999978</v>
      </c>
      <c r="N35" s="125"/>
      <c r="O35" s="131">
        <v>2027</v>
      </c>
      <c r="P35" s="134">
        <f>+L35+H35+D35</f>
        <v>-10143.55334074074</v>
      </c>
      <c r="Q35" s="134">
        <f t="shared" si="9"/>
        <v>23955.229500000005</v>
      </c>
      <c r="R35" s="88"/>
    </row>
    <row r="36" spans="2:18" x14ac:dyDescent="0.25">
      <c r="B36" s="100"/>
      <c r="C36" s="131">
        <v>2028</v>
      </c>
      <c r="D36" s="132">
        <f>-'AMM A,B,C'!D13</f>
        <v>0</v>
      </c>
      <c r="E36" s="133">
        <f t="shared" si="11"/>
        <v>0</v>
      </c>
      <c r="G36" s="131">
        <v>2028</v>
      </c>
      <c r="H36" s="132">
        <f>-'AMM A,B,C'!D26</f>
        <v>-6785.4660000000003</v>
      </c>
      <c r="I36" s="133">
        <f t="shared" si="10"/>
        <v>15267.198500000006</v>
      </c>
      <c r="K36" s="131">
        <v>2028</v>
      </c>
      <c r="L36" s="132">
        <f>-'AMM A,B,C'!D39</f>
        <v>-761.02600000000007</v>
      </c>
      <c r="M36" s="133">
        <f t="shared" si="12"/>
        <v>1141.5389999999977</v>
      </c>
      <c r="N36" s="125"/>
      <c r="O36" s="131">
        <v>2028</v>
      </c>
      <c r="P36" s="134">
        <f t="shared" ref="P36:P38" si="13">+L36+H36+D36</f>
        <v>-7546.4920000000002</v>
      </c>
      <c r="Q36" s="134">
        <f t="shared" si="9"/>
        <v>16408.737500000003</v>
      </c>
      <c r="R36" s="88"/>
    </row>
    <row r="37" spans="2:18" x14ac:dyDescent="0.25">
      <c r="B37" s="100"/>
      <c r="C37" s="131">
        <v>2029</v>
      </c>
      <c r="D37" s="132">
        <f>-'AMM A,B,C'!D14</f>
        <v>0</v>
      </c>
      <c r="E37" s="133">
        <f t="shared" si="11"/>
        <v>0</v>
      </c>
      <c r="G37" s="131">
        <v>2029</v>
      </c>
      <c r="H37" s="132">
        <f>-'AMM A,B,C'!D27</f>
        <v>-6785.4660000000003</v>
      </c>
      <c r="I37" s="133">
        <f t="shared" si="10"/>
        <v>8481.7325000000055</v>
      </c>
      <c r="K37" s="131">
        <v>2029</v>
      </c>
      <c r="L37" s="132">
        <f>-'AMM A,B,C'!D40</f>
        <v>-761.02600000000007</v>
      </c>
      <c r="M37" s="133">
        <f t="shared" si="12"/>
        <v>380.51299999999765</v>
      </c>
      <c r="N37" s="125"/>
      <c r="O37" s="131">
        <v>2029</v>
      </c>
      <c r="P37" s="134">
        <f t="shared" si="13"/>
        <v>-7546.4920000000002</v>
      </c>
      <c r="Q37" s="134">
        <f t="shared" si="9"/>
        <v>8862.2455000000027</v>
      </c>
      <c r="R37" s="88"/>
    </row>
    <row r="38" spans="2:18" x14ac:dyDescent="0.25">
      <c r="B38" s="100"/>
      <c r="C38" s="135">
        <v>2030</v>
      </c>
      <c r="D38" s="136">
        <f>-'AMM A,B,C'!D15</f>
        <v>0</v>
      </c>
      <c r="E38" s="137">
        <f t="shared" ref="E38" si="14">E37+D38</f>
        <v>0</v>
      </c>
      <c r="G38" s="135">
        <v>2030</v>
      </c>
      <c r="H38" s="136">
        <f>-'AMM A,B,C'!D28</f>
        <v>-6785.4660000000003</v>
      </c>
      <c r="I38" s="137">
        <f t="shared" si="10"/>
        <v>1696.2665000000052</v>
      </c>
      <c r="K38" s="135">
        <v>2030</v>
      </c>
      <c r="L38" s="136">
        <f>-'AMM A,B,C'!D41</f>
        <v>-380.51300000000003</v>
      </c>
      <c r="M38" s="137">
        <f t="shared" si="12"/>
        <v>-2.3874235921539366E-12</v>
      </c>
      <c r="N38" s="125"/>
      <c r="O38" s="135">
        <v>2030</v>
      </c>
      <c r="P38" s="134">
        <f t="shared" si="13"/>
        <v>-7165.9790000000003</v>
      </c>
      <c r="Q38" s="138">
        <f t="shared" si="9"/>
        <v>1696.2665000000029</v>
      </c>
      <c r="R38" s="88"/>
    </row>
    <row r="39" spans="2:18" x14ac:dyDescent="0.25">
      <c r="B39" s="100"/>
      <c r="C39" s="102"/>
      <c r="D39" s="139">
        <f>SUBTOTAL(9,D30:D38)</f>
        <v>-7394.9099999999989</v>
      </c>
      <c r="G39" s="24"/>
      <c r="H39" s="139">
        <f>SUBTOTAL(9,H30:H38)</f>
        <v>-49793.783500000005</v>
      </c>
      <c r="J39" s="87"/>
      <c r="K39" s="24"/>
      <c r="L39" s="139">
        <f>SUM(L30:L38)</f>
        <v>-12364.17</v>
      </c>
      <c r="O39" s="102"/>
      <c r="P39" s="139">
        <f>SUBTOTAL(9,P30:P38)</f>
        <v>-69552.863499999992</v>
      </c>
      <c r="R39" s="88"/>
    </row>
    <row r="40" spans="2:18" x14ac:dyDescent="0.25">
      <c r="B40" s="140"/>
      <c r="C40" s="141"/>
      <c r="D40" s="142"/>
      <c r="E40" s="142"/>
      <c r="F40" s="142"/>
      <c r="G40" s="141"/>
      <c r="H40" s="141"/>
      <c r="I40" s="142"/>
      <c r="J40" s="143"/>
      <c r="K40" s="144"/>
      <c r="L40" s="142"/>
      <c r="M40" s="142"/>
      <c r="N40" s="142"/>
      <c r="O40" s="141"/>
      <c r="P40" s="141"/>
      <c r="Q40" s="141"/>
      <c r="R40" s="145"/>
    </row>
  </sheetData>
  <mergeCells count="4">
    <mergeCell ref="D27:E27"/>
    <mergeCell ref="H27:I27"/>
    <mergeCell ref="L27:M27"/>
    <mergeCell ref="P27:Q27"/>
  </mergeCells>
  <pageMargins left="0.25" right="0.25" top="0.75" bottom="0.75" header="0.3" footer="0.3"/>
  <pageSetup paperSize="9" scale="7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BA037-A70A-4B66-8E34-3502F311FB4F}">
  <dimension ref="A2:L30"/>
  <sheetViews>
    <sheetView workbookViewId="0">
      <selection activeCell="O20" sqref="O20"/>
    </sheetView>
  </sheetViews>
  <sheetFormatPr defaultRowHeight="15" x14ac:dyDescent="0.25"/>
  <cols>
    <col min="1" max="1" width="5.5703125" style="24" customWidth="1"/>
    <col min="2" max="2" width="23.5703125" customWidth="1"/>
    <col min="3" max="3" width="12.85546875" style="24" customWidth="1"/>
    <col min="4" max="4" width="13.42578125" style="125" customWidth="1"/>
    <col min="5" max="5" width="9.140625" style="150"/>
    <col min="6" max="6" width="6.5703125" style="152" customWidth="1"/>
    <col min="7" max="7" width="13" style="125" customWidth="1"/>
    <col min="8" max="8" width="12.42578125" style="125" customWidth="1"/>
    <col min="9" max="9" width="13.140625" style="125" customWidth="1"/>
    <col min="10" max="11" width="15.140625" style="125" customWidth="1"/>
    <col min="12" max="12" width="11.7109375" style="125" customWidth="1"/>
  </cols>
  <sheetData>
    <row r="2" spans="1:12" ht="15.75" x14ac:dyDescent="0.25">
      <c r="B2" s="164" t="s">
        <v>124</v>
      </c>
      <c r="G2" s="167" t="s">
        <v>145</v>
      </c>
      <c r="H2" s="167"/>
      <c r="I2" s="167"/>
    </row>
    <row r="3" spans="1:12" ht="15.75" x14ac:dyDescent="0.25">
      <c r="B3" s="164" t="s">
        <v>125</v>
      </c>
    </row>
    <row r="5" spans="1:12" s="115" customFormat="1" x14ac:dyDescent="0.25">
      <c r="A5" s="168" t="s">
        <v>107</v>
      </c>
      <c r="B5" s="168" t="s">
        <v>108</v>
      </c>
      <c r="C5" s="154" t="s">
        <v>109</v>
      </c>
      <c r="D5" s="155" t="s">
        <v>110</v>
      </c>
      <c r="E5" s="156" t="s">
        <v>111</v>
      </c>
      <c r="F5" s="157" t="s">
        <v>112</v>
      </c>
      <c r="G5" s="155" t="s">
        <v>110</v>
      </c>
      <c r="H5" s="155" t="s">
        <v>113</v>
      </c>
      <c r="I5" s="155" t="s">
        <v>114</v>
      </c>
      <c r="J5" s="155" t="s">
        <v>115</v>
      </c>
      <c r="K5" s="155" t="s">
        <v>110</v>
      </c>
      <c r="L5" s="155" t="s">
        <v>116</v>
      </c>
    </row>
    <row r="6" spans="1:12" s="115" customFormat="1" x14ac:dyDescent="0.25">
      <c r="A6" s="168"/>
      <c r="B6" s="168"/>
      <c r="C6" s="154" t="s">
        <v>117</v>
      </c>
      <c r="D6" s="155" t="s">
        <v>118</v>
      </c>
      <c r="E6" s="156" t="s">
        <v>119</v>
      </c>
      <c r="F6" s="157"/>
      <c r="G6" s="155" t="s">
        <v>120</v>
      </c>
      <c r="H6" s="155" t="s">
        <v>121</v>
      </c>
      <c r="I6" s="155" t="s">
        <v>121</v>
      </c>
      <c r="J6" s="155" t="s">
        <v>121</v>
      </c>
      <c r="K6" s="155" t="s">
        <v>122</v>
      </c>
      <c r="L6" s="155" t="s">
        <v>123</v>
      </c>
    </row>
    <row r="7" spans="1:12" x14ac:dyDescent="0.25">
      <c r="A7" s="149"/>
      <c r="B7" s="147"/>
      <c r="C7" s="149"/>
      <c r="D7" s="148"/>
      <c r="E7" s="151"/>
      <c r="F7" s="153"/>
      <c r="G7" s="148"/>
      <c r="H7" s="148"/>
      <c r="I7" s="148"/>
      <c r="J7" s="148"/>
      <c r="K7" s="148"/>
      <c r="L7" s="148"/>
    </row>
    <row r="8" spans="1:12" x14ac:dyDescent="0.25">
      <c r="A8" s="149"/>
      <c r="B8" s="163" t="s">
        <v>127</v>
      </c>
      <c r="C8" s="149"/>
      <c r="D8" s="148"/>
      <c r="E8" s="151"/>
      <c r="F8" s="153"/>
      <c r="G8" s="148"/>
      <c r="H8" s="148"/>
      <c r="I8" s="148"/>
      <c r="J8" s="148"/>
      <c r="K8" s="148"/>
      <c r="L8" s="148"/>
    </row>
    <row r="9" spans="1:12" x14ac:dyDescent="0.25">
      <c r="A9" s="149"/>
      <c r="B9" s="147" t="s">
        <v>92</v>
      </c>
      <c r="C9" s="149"/>
      <c r="D9" s="148"/>
      <c r="E9" s="151"/>
      <c r="F9" s="153"/>
      <c r="G9" s="148"/>
      <c r="H9" s="148"/>
      <c r="I9" s="148"/>
      <c r="J9" s="148"/>
      <c r="K9" s="148"/>
      <c r="L9" s="148"/>
    </row>
    <row r="10" spans="1:12" x14ac:dyDescent="0.25">
      <c r="A10" s="149">
        <v>1</v>
      </c>
      <c r="B10" s="147" t="s">
        <v>129</v>
      </c>
      <c r="C10" s="149" t="s">
        <v>132</v>
      </c>
      <c r="D10" s="148">
        <v>1520</v>
      </c>
      <c r="E10" s="151">
        <v>0.2</v>
      </c>
      <c r="F10" s="153">
        <v>12</v>
      </c>
      <c r="G10" s="148">
        <f>'2025 Marius'!K10</f>
        <v>341.15999999999997</v>
      </c>
      <c r="H10" s="148"/>
      <c r="I10" s="148"/>
      <c r="J10" s="148">
        <f>(D10*E10)*F10/12</f>
        <v>304</v>
      </c>
      <c r="K10" s="148">
        <f>G10-J10</f>
        <v>37.159999999999968</v>
      </c>
      <c r="L10" s="148"/>
    </row>
    <row r="11" spans="1:12" x14ac:dyDescent="0.25">
      <c r="A11" s="149">
        <v>2</v>
      </c>
      <c r="B11" s="147" t="s">
        <v>129</v>
      </c>
      <c r="C11" s="149" t="s">
        <v>133</v>
      </c>
      <c r="D11" s="148">
        <v>1020</v>
      </c>
      <c r="E11" s="151">
        <v>0.2</v>
      </c>
      <c r="F11" s="153">
        <v>12</v>
      </c>
      <c r="G11" s="148">
        <f>'2025 Marius'!K11</f>
        <v>261.79999999999995</v>
      </c>
      <c r="H11" s="148"/>
      <c r="I11" s="148"/>
      <c r="J11" s="148">
        <f t="shared" ref="J11:J20" si="0">(D11*E11)*F11/12</f>
        <v>204</v>
      </c>
      <c r="K11" s="148">
        <f>G11-J11</f>
        <v>57.799999999999955</v>
      </c>
      <c r="L11" s="148"/>
    </row>
    <row r="12" spans="1:12" x14ac:dyDescent="0.25">
      <c r="A12" s="149">
        <v>3</v>
      </c>
      <c r="B12" s="147" t="s">
        <v>129</v>
      </c>
      <c r="C12" s="149" t="s">
        <v>134</v>
      </c>
      <c r="D12" s="148">
        <v>3541.67</v>
      </c>
      <c r="E12" s="151">
        <v>0.2</v>
      </c>
      <c r="F12" s="153">
        <v>12</v>
      </c>
      <c r="G12" s="148">
        <f>'2025 Marius'!K12</f>
        <v>942.48599999999999</v>
      </c>
      <c r="H12" s="148"/>
      <c r="I12" s="148"/>
      <c r="J12" s="148">
        <f t="shared" si="0"/>
        <v>708.33400000000017</v>
      </c>
      <c r="K12" s="148">
        <f>G12-J12</f>
        <v>234.15199999999982</v>
      </c>
      <c r="L12" s="148"/>
    </row>
    <row r="13" spans="1:12" x14ac:dyDescent="0.25">
      <c r="A13" s="149">
        <v>4</v>
      </c>
      <c r="B13" s="147" t="s">
        <v>129</v>
      </c>
      <c r="C13" s="149" t="s">
        <v>135</v>
      </c>
      <c r="D13" s="148">
        <v>1403.31</v>
      </c>
      <c r="E13" s="151">
        <v>0.2</v>
      </c>
      <c r="F13" s="153">
        <v>12</v>
      </c>
      <c r="G13" s="148">
        <f>'2025 Marius'!K13</f>
        <v>381.23799999999989</v>
      </c>
      <c r="H13" s="148"/>
      <c r="I13" s="148"/>
      <c r="J13" s="148">
        <f t="shared" si="0"/>
        <v>280.66199999999998</v>
      </c>
      <c r="K13" s="148">
        <f>G13-J13</f>
        <v>100.57599999999991</v>
      </c>
      <c r="L13" s="148"/>
    </row>
    <row r="14" spans="1:12" x14ac:dyDescent="0.25">
      <c r="A14" s="149">
        <v>5</v>
      </c>
      <c r="B14" s="147" t="s">
        <v>129</v>
      </c>
      <c r="C14" s="149" t="s">
        <v>136</v>
      </c>
      <c r="D14" s="148">
        <v>1074.06</v>
      </c>
      <c r="E14" s="151">
        <v>0.2</v>
      </c>
      <c r="F14" s="153">
        <v>12</v>
      </c>
      <c r="G14" s="148">
        <f>'2025 Marius'!K14</f>
        <v>322.79799999999989</v>
      </c>
      <c r="H14" s="148"/>
      <c r="I14" s="148"/>
      <c r="J14" s="148">
        <f t="shared" si="0"/>
        <v>214.81200000000001</v>
      </c>
      <c r="K14" s="148">
        <f>G14-J14</f>
        <v>107.98599999999988</v>
      </c>
      <c r="L14" s="148"/>
    </row>
    <row r="15" spans="1:12" x14ac:dyDescent="0.25">
      <c r="A15" s="149">
        <v>6</v>
      </c>
      <c r="B15" s="147" t="s">
        <v>129</v>
      </c>
      <c r="C15" s="165" t="s">
        <v>143</v>
      </c>
      <c r="D15" s="148">
        <v>769.23</v>
      </c>
      <c r="E15" s="151">
        <v>0.2</v>
      </c>
      <c r="F15" s="153">
        <v>12</v>
      </c>
      <c r="G15" s="148">
        <f>'2025 Marius'!K15</f>
        <v>692.30700000000002</v>
      </c>
      <c r="H15" s="148"/>
      <c r="I15" s="148"/>
      <c r="J15" s="148">
        <f>(D15*E15)*F15/12</f>
        <v>153.846</v>
      </c>
      <c r="K15" s="148">
        <f>G15-J15</f>
        <v>538.46100000000001</v>
      </c>
      <c r="L15" s="148"/>
    </row>
    <row r="16" spans="1:12" x14ac:dyDescent="0.25">
      <c r="A16" s="149">
        <v>7</v>
      </c>
      <c r="B16" s="147" t="s">
        <v>129</v>
      </c>
      <c r="C16" s="165" t="s">
        <v>141</v>
      </c>
      <c r="D16" s="148">
        <v>3035.9</v>
      </c>
      <c r="E16" s="151">
        <v>0.2</v>
      </c>
      <c r="F16" s="153">
        <v>12</v>
      </c>
      <c r="G16" s="148">
        <f>'2025 Marius'!K16</f>
        <v>2732.31</v>
      </c>
      <c r="H16" s="148"/>
      <c r="I16" s="148"/>
      <c r="J16" s="148">
        <f t="shared" si="0"/>
        <v>607.18000000000006</v>
      </c>
      <c r="K16" s="148">
        <f>G16-J16</f>
        <v>2125.13</v>
      </c>
      <c r="L16" s="148"/>
    </row>
    <row r="17" spans="1:12" x14ac:dyDescent="0.25">
      <c r="A17" s="149"/>
      <c r="B17" s="147"/>
      <c r="C17" s="165"/>
      <c r="D17" s="148"/>
      <c r="E17" s="151"/>
      <c r="F17" s="153"/>
      <c r="G17" s="148"/>
      <c r="H17" s="148"/>
      <c r="I17" s="148"/>
      <c r="J17" s="139">
        <f>SUM(J10:J16)</f>
        <v>2472.8340000000007</v>
      </c>
      <c r="K17" s="139">
        <f>SUM(K10:K16)</f>
        <v>3201.2649999999994</v>
      </c>
      <c r="L17" s="148"/>
    </row>
    <row r="18" spans="1:12" x14ac:dyDescent="0.25">
      <c r="A18" s="149"/>
      <c r="B18" s="147" t="s">
        <v>148</v>
      </c>
      <c r="C18" s="149"/>
      <c r="D18" s="148"/>
      <c r="E18" s="151"/>
      <c r="F18" s="153"/>
      <c r="G18" s="148"/>
      <c r="H18" s="148"/>
      <c r="I18" s="148"/>
      <c r="J18" s="148"/>
      <c r="K18" s="148"/>
      <c r="L18" s="148"/>
    </row>
    <row r="19" spans="1:12" x14ac:dyDescent="0.25">
      <c r="A19" s="149">
        <v>8</v>
      </c>
      <c r="B19" s="147" t="s">
        <v>130</v>
      </c>
      <c r="C19" s="149" t="s">
        <v>136</v>
      </c>
      <c r="D19" s="148">
        <v>17562.82</v>
      </c>
      <c r="E19" s="151">
        <v>0.2</v>
      </c>
      <c r="F19" s="153">
        <v>12</v>
      </c>
      <c r="G19" s="148">
        <f>'2025 Marius'!K19</f>
        <v>5268.8559999999998</v>
      </c>
      <c r="H19" s="148"/>
      <c r="I19" s="148"/>
      <c r="J19" s="203">
        <f t="shared" si="0"/>
        <v>3512.5640000000003</v>
      </c>
      <c r="K19" s="203">
        <f>G19-J19</f>
        <v>1756.2919999999995</v>
      </c>
      <c r="L19" s="148"/>
    </row>
    <row r="20" spans="1:12" x14ac:dyDescent="0.25">
      <c r="A20" s="149">
        <v>9</v>
      </c>
      <c r="B20" s="147" t="s">
        <v>144</v>
      </c>
      <c r="C20" s="165" t="s">
        <v>147</v>
      </c>
      <c r="D20" s="148">
        <v>33927.230000000003</v>
      </c>
      <c r="E20" s="151">
        <v>0.2</v>
      </c>
      <c r="F20" s="153">
        <v>9</v>
      </c>
      <c r="G20" s="148"/>
      <c r="H20" s="166">
        <f>D20</f>
        <v>33927.230000000003</v>
      </c>
      <c r="I20" s="148"/>
      <c r="J20" s="148">
        <f t="shared" si="0"/>
        <v>5089.0845000000008</v>
      </c>
      <c r="K20" s="148">
        <f>H20-J20</f>
        <v>28838.145500000002</v>
      </c>
      <c r="L20" s="148"/>
    </row>
    <row r="21" spans="1:12" x14ac:dyDescent="0.25">
      <c r="A21" s="149"/>
      <c r="B21" s="147"/>
      <c r="C21" s="149"/>
      <c r="D21" s="148"/>
      <c r="E21" s="151"/>
      <c r="F21" s="153"/>
      <c r="G21" s="148"/>
      <c r="H21" s="148"/>
      <c r="I21" s="148"/>
      <c r="J21" s="139">
        <f>SUM(J19:J20)</f>
        <v>8601.6485000000011</v>
      </c>
      <c r="K21" s="139">
        <f>SUM(K19:K20)</f>
        <v>30594.4375</v>
      </c>
      <c r="L21" s="148"/>
    </row>
    <row r="22" spans="1:12" x14ac:dyDescent="0.25">
      <c r="A22" s="149"/>
      <c r="B22" s="147"/>
      <c r="C22" s="149"/>
      <c r="D22" s="148"/>
      <c r="E22" s="151"/>
      <c r="F22" s="153"/>
      <c r="G22" s="148"/>
      <c r="H22" s="148"/>
      <c r="I22" s="148"/>
      <c r="J22" s="148"/>
      <c r="K22" s="148"/>
      <c r="L22" s="148"/>
    </row>
    <row r="23" spans="1:12" x14ac:dyDescent="0.25">
      <c r="A23" s="149"/>
      <c r="B23" s="163" t="s">
        <v>128</v>
      </c>
      <c r="C23" s="149"/>
      <c r="D23" s="148"/>
      <c r="E23" s="151"/>
      <c r="F23" s="153"/>
      <c r="G23" s="148"/>
      <c r="H23" s="148"/>
      <c r="I23" s="148"/>
      <c r="J23" s="148"/>
      <c r="K23" s="148"/>
      <c r="L23" s="148"/>
    </row>
    <row r="24" spans="1:12" x14ac:dyDescent="0.25">
      <c r="A24" s="149"/>
      <c r="B24" s="147" t="s">
        <v>69</v>
      </c>
      <c r="C24" s="149"/>
      <c r="D24" s="148"/>
      <c r="E24" s="151"/>
      <c r="F24" s="153"/>
      <c r="G24" s="148"/>
      <c r="H24" s="148"/>
      <c r="I24" s="148"/>
      <c r="J24" s="148"/>
      <c r="K24" s="148"/>
      <c r="L24" s="148"/>
    </row>
    <row r="25" spans="1:12" x14ac:dyDescent="0.25">
      <c r="A25" s="149">
        <v>10</v>
      </c>
      <c r="B25" s="147" t="s">
        <v>131</v>
      </c>
      <c r="C25" s="149">
        <v>2023</v>
      </c>
      <c r="D25" s="148">
        <v>4391.6499999999996</v>
      </c>
      <c r="E25" s="151">
        <v>0.33333000000000002</v>
      </c>
      <c r="F25" s="153">
        <v>12</v>
      </c>
      <c r="G25" s="148">
        <f>'2025 Marius'!K24</f>
        <v>1267.9313055000002</v>
      </c>
      <c r="H25" s="148"/>
      <c r="I25" s="148"/>
      <c r="J25" s="148">
        <v>1267.93</v>
      </c>
      <c r="K25" s="148">
        <f t="shared" ref="K25" si="1">G25-J25</f>
        <v>1.3055000001713779E-3</v>
      </c>
      <c r="L25" s="148"/>
    </row>
    <row r="26" spans="1:12" x14ac:dyDescent="0.25">
      <c r="A26" s="149">
        <v>11</v>
      </c>
      <c r="B26" s="147" t="s">
        <v>131</v>
      </c>
      <c r="C26" s="149">
        <v>2024</v>
      </c>
      <c r="D26" s="148">
        <v>3003.26</v>
      </c>
      <c r="E26" s="151">
        <v>0.33333000000000002</v>
      </c>
      <c r="F26" s="153">
        <v>12</v>
      </c>
      <c r="G26" s="148">
        <f>'2025 Marius'!K25</f>
        <v>1304.2033442000002</v>
      </c>
      <c r="H26" s="148"/>
      <c r="I26" s="148"/>
      <c r="J26" s="148">
        <f t="shared" ref="J25:J26" si="2">(D26*E26)*F26/12</f>
        <v>1001.0766558000001</v>
      </c>
      <c r="K26" s="148">
        <f>G26-J26</f>
        <v>303.12668840000003</v>
      </c>
      <c r="L26" s="148"/>
    </row>
    <row r="27" spans="1:12" x14ac:dyDescent="0.25">
      <c r="A27" s="149"/>
      <c r="B27" s="147"/>
      <c r="C27" s="149"/>
      <c r="D27" s="148"/>
      <c r="E27" s="151"/>
      <c r="F27" s="153"/>
      <c r="G27" s="148"/>
      <c r="H27" s="148"/>
      <c r="I27" s="148"/>
      <c r="J27" s="139">
        <f>SUM(J25:J26)</f>
        <v>2269.0066558000003</v>
      </c>
      <c r="K27" s="139">
        <f>SUM(K25:K26)</f>
        <v>303.12799390000021</v>
      </c>
      <c r="L27" s="148"/>
    </row>
    <row r="28" spans="1:12" x14ac:dyDescent="0.25">
      <c r="A28" s="149"/>
      <c r="B28" s="147"/>
      <c r="C28" s="149"/>
      <c r="D28" s="148"/>
      <c r="E28" s="151"/>
      <c r="F28" s="153"/>
      <c r="G28" s="148"/>
      <c r="H28" s="148"/>
      <c r="I28" s="148"/>
      <c r="J28" s="148"/>
      <c r="K28" s="148"/>
      <c r="L28" s="148"/>
    </row>
    <row r="29" spans="1:12" x14ac:dyDescent="0.25">
      <c r="A29" s="149"/>
      <c r="B29" s="147"/>
      <c r="C29" s="149"/>
      <c r="D29" s="148"/>
      <c r="E29" s="151"/>
      <c r="F29" s="153"/>
      <c r="G29" s="148"/>
      <c r="H29" s="148"/>
      <c r="I29" s="148"/>
      <c r="J29" s="148"/>
      <c r="K29" s="148"/>
      <c r="L29" s="148"/>
    </row>
    <row r="30" spans="1:12" s="159" customFormat="1" ht="15.75" x14ac:dyDescent="0.25">
      <c r="A30" s="158"/>
      <c r="C30" s="158"/>
      <c r="D30" s="160">
        <f>SUM(D7:D29)</f>
        <v>71249.12999999999</v>
      </c>
      <c r="E30" s="161"/>
      <c r="F30" s="162"/>
      <c r="G30" s="160">
        <f>SUM(G8:G29)</f>
        <v>13515.089649699999</v>
      </c>
      <c r="H30" s="160">
        <f t="shared" ref="H30:L30" si="3">SUM(H7:H29)</f>
        <v>33927.230000000003</v>
      </c>
      <c r="I30" s="160">
        <f t="shared" si="3"/>
        <v>0</v>
      </c>
      <c r="J30" s="160">
        <f>J17+J21+J27</f>
        <v>13343.489155800002</v>
      </c>
      <c r="K30" s="160">
        <f>K17+K21+K27</f>
        <v>34098.830493900001</v>
      </c>
      <c r="L30" s="160">
        <f t="shared" si="3"/>
        <v>0</v>
      </c>
    </row>
  </sheetData>
  <mergeCells count="3">
    <mergeCell ref="G2:I2"/>
    <mergeCell ref="A5:A6"/>
    <mergeCell ref="B5:B6"/>
  </mergeCells>
  <pageMargins left="0.25" right="0.25" top="0.75" bottom="0.75" header="0.3" footer="0.3"/>
  <pageSetup paperSize="9" scale="9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D717-A3B5-4A02-A911-025202DD974C}">
  <dimension ref="A2:L29"/>
  <sheetViews>
    <sheetView workbookViewId="0">
      <selection activeCell="K30" sqref="K30"/>
    </sheetView>
  </sheetViews>
  <sheetFormatPr defaultRowHeight="15" x14ac:dyDescent="0.25"/>
  <cols>
    <col min="1" max="1" width="5.5703125" style="24" customWidth="1"/>
    <col min="2" max="2" width="23.5703125" customWidth="1"/>
    <col min="3" max="3" width="12.85546875" style="24" customWidth="1"/>
    <col min="4" max="4" width="13.42578125" style="125" customWidth="1"/>
    <col min="5" max="5" width="9.140625" style="150"/>
    <col min="6" max="6" width="6.5703125" style="152" customWidth="1"/>
    <col min="7" max="7" width="13" style="125" customWidth="1"/>
    <col min="8" max="8" width="12.42578125" style="125" customWidth="1"/>
    <col min="9" max="9" width="13.140625" style="125" customWidth="1"/>
    <col min="10" max="11" width="15.140625" style="125" customWidth="1"/>
    <col min="12" max="12" width="11.7109375" style="125" customWidth="1"/>
  </cols>
  <sheetData>
    <row r="2" spans="1:12" ht="15.75" x14ac:dyDescent="0.25">
      <c r="B2" s="164" t="s">
        <v>124</v>
      </c>
      <c r="G2" s="167" t="s">
        <v>137</v>
      </c>
      <c r="H2" s="167"/>
      <c r="I2" s="167"/>
    </row>
    <row r="3" spans="1:12" ht="15.75" x14ac:dyDescent="0.25">
      <c r="B3" s="164" t="s">
        <v>125</v>
      </c>
    </row>
    <row r="5" spans="1:12" s="115" customFormat="1" x14ac:dyDescent="0.25">
      <c r="A5" s="168" t="s">
        <v>107</v>
      </c>
      <c r="B5" s="168" t="s">
        <v>108</v>
      </c>
      <c r="C5" s="154" t="s">
        <v>109</v>
      </c>
      <c r="D5" s="155" t="s">
        <v>110</v>
      </c>
      <c r="E5" s="156" t="s">
        <v>111</v>
      </c>
      <c r="F5" s="157" t="s">
        <v>112</v>
      </c>
      <c r="G5" s="155" t="s">
        <v>110</v>
      </c>
      <c r="H5" s="155" t="s">
        <v>113</v>
      </c>
      <c r="I5" s="155" t="s">
        <v>114</v>
      </c>
      <c r="J5" s="155" t="s">
        <v>115</v>
      </c>
      <c r="K5" s="155" t="s">
        <v>110</v>
      </c>
      <c r="L5" s="155" t="s">
        <v>116</v>
      </c>
    </row>
    <row r="6" spans="1:12" s="115" customFormat="1" x14ac:dyDescent="0.25">
      <c r="A6" s="168"/>
      <c r="B6" s="168"/>
      <c r="C6" s="154" t="s">
        <v>117</v>
      </c>
      <c r="D6" s="155" t="s">
        <v>118</v>
      </c>
      <c r="E6" s="156" t="s">
        <v>119</v>
      </c>
      <c r="F6" s="157"/>
      <c r="G6" s="155" t="s">
        <v>120</v>
      </c>
      <c r="H6" s="155" t="s">
        <v>121</v>
      </c>
      <c r="I6" s="155" t="s">
        <v>121</v>
      </c>
      <c r="J6" s="155" t="s">
        <v>121</v>
      </c>
      <c r="K6" s="155" t="s">
        <v>122</v>
      </c>
      <c r="L6" s="155" t="s">
        <v>123</v>
      </c>
    </row>
    <row r="7" spans="1:12" x14ac:dyDescent="0.25">
      <c r="A7" s="149"/>
      <c r="B7" s="147"/>
      <c r="C7" s="149"/>
      <c r="D7" s="148"/>
      <c r="E7" s="151"/>
      <c r="F7" s="153"/>
      <c r="G7" s="148"/>
      <c r="H7" s="148"/>
      <c r="I7" s="148"/>
      <c r="J7" s="148"/>
      <c r="K7" s="148"/>
      <c r="L7" s="148"/>
    </row>
    <row r="8" spans="1:12" x14ac:dyDescent="0.25">
      <c r="A8" s="149"/>
      <c r="B8" s="163" t="s">
        <v>127</v>
      </c>
      <c r="C8" s="149"/>
      <c r="D8" s="148"/>
      <c r="E8" s="151"/>
      <c r="F8" s="153"/>
      <c r="G8" s="148"/>
      <c r="H8" s="148"/>
      <c r="I8" s="148"/>
      <c r="J8" s="148"/>
      <c r="K8" s="148"/>
      <c r="L8" s="148"/>
    </row>
    <row r="9" spans="1:12" x14ac:dyDescent="0.25">
      <c r="A9" s="149"/>
      <c r="B9" s="147"/>
      <c r="C9" s="149"/>
      <c r="D9" s="148"/>
      <c r="E9" s="151"/>
      <c r="F9" s="153"/>
      <c r="G9" s="148"/>
      <c r="H9" s="148"/>
      <c r="I9" s="148"/>
      <c r="J9" s="148"/>
      <c r="K9" s="148"/>
      <c r="L9" s="148"/>
    </row>
    <row r="10" spans="1:12" x14ac:dyDescent="0.25">
      <c r="A10" s="149">
        <v>1</v>
      </c>
      <c r="B10" s="147" t="s">
        <v>129</v>
      </c>
      <c r="C10" s="149" t="s">
        <v>132</v>
      </c>
      <c r="D10" s="148">
        <v>1520</v>
      </c>
      <c r="E10" s="151">
        <v>0.2</v>
      </c>
      <c r="F10" s="153">
        <v>12</v>
      </c>
      <c r="G10" s="148">
        <f>'2024 Marius'!K10</f>
        <v>645.16</v>
      </c>
      <c r="H10" s="148"/>
      <c r="I10" s="148"/>
      <c r="J10" s="148">
        <f>(D10*E10)*F10/12</f>
        <v>304</v>
      </c>
      <c r="K10" s="148">
        <f>G10-J10</f>
        <v>341.15999999999997</v>
      </c>
      <c r="L10" s="148"/>
    </row>
    <row r="11" spans="1:12" x14ac:dyDescent="0.25">
      <c r="A11" s="149">
        <v>2</v>
      </c>
      <c r="B11" s="147" t="s">
        <v>129</v>
      </c>
      <c r="C11" s="149" t="s">
        <v>133</v>
      </c>
      <c r="D11" s="148">
        <v>1020</v>
      </c>
      <c r="E11" s="151">
        <v>0.2</v>
      </c>
      <c r="F11" s="153">
        <v>12</v>
      </c>
      <c r="G11" s="148">
        <f>'2024 Marius'!K11</f>
        <v>465.79999999999995</v>
      </c>
      <c r="H11" s="148"/>
      <c r="I11" s="148"/>
      <c r="J11" s="148">
        <f t="shared" ref="J11:J19" si="0">(D11*E11)*F11/12</f>
        <v>204</v>
      </c>
      <c r="K11" s="148">
        <f>G11-J11</f>
        <v>261.79999999999995</v>
      </c>
      <c r="L11" s="148"/>
    </row>
    <row r="12" spans="1:12" x14ac:dyDescent="0.25">
      <c r="A12" s="149">
        <v>3</v>
      </c>
      <c r="B12" s="147" t="s">
        <v>129</v>
      </c>
      <c r="C12" s="149" t="s">
        <v>134</v>
      </c>
      <c r="D12" s="148">
        <v>3541.67</v>
      </c>
      <c r="E12" s="151">
        <v>0.2</v>
      </c>
      <c r="F12" s="153">
        <v>12</v>
      </c>
      <c r="G12" s="148">
        <f>'2024 Marius'!K12</f>
        <v>1650.8200000000002</v>
      </c>
      <c r="H12" s="148"/>
      <c r="I12" s="148"/>
      <c r="J12" s="148">
        <f t="shared" si="0"/>
        <v>708.33400000000017</v>
      </c>
      <c r="K12" s="148">
        <f>G12-J12</f>
        <v>942.48599999999999</v>
      </c>
      <c r="L12" s="148"/>
    </row>
    <row r="13" spans="1:12" x14ac:dyDescent="0.25">
      <c r="A13" s="149">
        <v>4</v>
      </c>
      <c r="B13" s="147" t="s">
        <v>129</v>
      </c>
      <c r="C13" s="149" t="s">
        <v>135</v>
      </c>
      <c r="D13" s="148">
        <v>1403.31</v>
      </c>
      <c r="E13" s="151">
        <v>0.2</v>
      </c>
      <c r="F13" s="153">
        <v>12</v>
      </c>
      <c r="G13" s="148">
        <f>'2024 Marius'!K13</f>
        <v>661.89999999999986</v>
      </c>
      <c r="H13" s="148"/>
      <c r="I13" s="148"/>
      <c r="J13" s="148">
        <f t="shared" si="0"/>
        <v>280.66199999999998</v>
      </c>
      <c r="K13" s="148">
        <f>G13-J13</f>
        <v>381.23799999999989</v>
      </c>
      <c r="L13" s="148"/>
    </row>
    <row r="14" spans="1:12" x14ac:dyDescent="0.25">
      <c r="A14" s="149">
        <v>5</v>
      </c>
      <c r="B14" s="147" t="s">
        <v>129</v>
      </c>
      <c r="C14" s="149" t="s">
        <v>136</v>
      </c>
      <c r="D14" s="148">
        <v>1074.06</v>
      </c>
      <c r="E14" s="151">
        <v>0.2</v>
      </c>
      <c r="F14" s="153">
        <v>12</v>
      </c>
      <c r="G14" s="148">
        <f>'2024 Marius'!K14</f>
        <v>537.6099999999999</v>
      </c>
      <c r="H14" s="148"/>
      <c r="I14" s="148"/>
      <c r="J14" s="148">
        <f t="shared" si="0"/>
        <v>214.81200000000001</v>
      </c>
      <c r="K14" s="148">
        <f>G14-J14</f>
        <v>322.79799999999989</v>
      </c>
      <c r="L14" s="148"/>
    </row>
    <row r="15" spans="1:12" x14ac:dyDescent="0.25">
      <c r="A15" s="149">
        <v>6</v>
      </c>
      <c r="B15" s="147" t="s">
        <v>129</v>
      </c>
      <c r="C15" s="165" t="s">
        <v>143</v>
      </c>
      <c r="D15" s="148">
        <v>769.23</v>
      </c>
      <c r="E15" s="151">
        <v>0.2</v>
      </c>
      <c r="F15" s="153">
        <v>6</v>
      </c>
      <c r="G15" s="148"/>
      <c r="H15" s="166">
        <v>769.23</v>
      </c>
      <c r="I15" s="148"/>
      <c r="J15" s="148">
        <f>(D15*E15)*F15/12</f>
        <v>76.923000000000002</v>
      </c>
      <c r="K15" s="148">
        <f>H15-J15</f>
        <v>692.30700000000002</v>
      </c>
      <c r="L15" s="148"/>
    </row>
    <row r="16" spans="1:12" x14ac:dyDescent="0.25">
      <c r="A16" s="149">
        <v>7</v>
      </c>
      <c r="B16" s="147" t="s">
        <v>129</v>
      </c>
      <c r="C16" s="165" t="s">
        <v>141</v>
      </c>
      <c r="D16" s="148">
        <v>3035.9</v>
      </c>
      <c r="E16" s="151">
        <v>0.2</v>
      </c>
      <c r="F16" s="153">
        <v>6</v>
      </c>
      <c r="G16" s="148"/>
      <c r="H16" s="166">
        <v>3035.9</v>
      </c>
      <c r="I16" s="148"/>
      <c r="J16" s="148">
        <f t="shared" si="0"/>
        <v>303.59000000000003</v>
      </c>
      <c r="K16" s="148">
        <f>H16-J16</f>
        <v>2732.31</v>
      </c>
      <c r="L16" s="148"/>
    </row>
    <row r="17" spans="1:12" x14ac:dyDescent="0.25">
      <c r="A17" s="149"/>
      <c r="B17" s="147"/>
      <c r="C17" s="165"/>
      <c r="D17" s="148"/>
      <c r="E17" s="151"/>
      <c r="F17" s="153"/>
      <c r="G17" s="148"/>
      <c r="H17" s="148"/>
      <c r="I17" s="148"/>
      <c r="J17" s="139">
        <f>SUM(J10:J16)</f>
        <v>2092.3210000000004</v>
      </c>
      <c r="K17" s="139">
        <f>SUM(K10:K16)</f>
        <v>5674.0990000000002</v>
      </c>
      <c r="L17" s="148"/>
    </row>
    <row r="18" spans="1:12" x14ac:dyDescent="0.25">
      <c r="A18" s="149"/>
      <c r="B18" s="147"/>
      <c r="C18" s="149"/>
      <c r="D18" s="148"/>
      <c r="E18" s="151"/>
      <c r="F18" s="153"/>
      <c r="G18" s="148"/>
      <c r="H18" s="148"/>
      <c r="I18" s="148"/>
      <c r="J18" s="148"/>
      <c r="K18" s="148"/>
      <c r="L18" s="148"/>
    </row>
    <row r="19" spans="1:12" x14ac:dyDescent="0.25">
      <c r="A19" s="149">
        <v>8</v>
      </c>
      <c r="B19" s="147" t="s">
        <v>130</v>
      </c>
      <c r="C19" s="149" t="s">
        <v>136</v>
      </c>
      <c r="D19" s="148">
        <v>17562.82</v>
      </c>
      <c r="E19" s="151">
        <v>0.2</v>
      </c>
      <c r="F19" s="153">
        <v>12</v>
      </c>
      <c r="G19" s="148">
        <f>'2024 Marius'!K16</f>
        <v>8781.42</v>
      </c>
      <c r="H19" s="148"/>
      <c r="I19" s="148"/>
      <c r="J19" s="139">
        <f t="shared" si="0"/>
        <v>3512.5640000000003</v>
      </c>
      <c r="K19" s="139">
        <f>G19-J19</f>
        <v>5268.8559999999998</v>
      </c>
      <c r="L19" s="148"/>
    </row>
    <row r="20" spans="1:12" x14ac:dyDescent="0.25">
      <c r="A20" s="149"/>
      <c r="B20" s="147"/>
      <c r="C20" s="149"/>
      <c r="D20" s="148"/>
      <c r="E20" s="151"/>
      <c r="F20" s="153"/>
      <c r="G20" s="148"/>
      <c r="H20" s="148"/>
      <c r="I20" s="148"/>
      <c r="J20" s="148"/>
      <c r="K20" s="148"/>
      <c r="L20" s="148"/>
    </row>
    <row r="21" spans="1:12" x14ac:dyDescent="0.25">
      <c r="A21" s="149"/>
      <c r="B21" s="147"/>
      <c r="C21" s="149"/>
      <c r="D21" s="148"/>
      <c r="E21" s="151"/>
      <c r="F21" s="153"/>
      <c r="G21" s="148"/>
      <c r="H21" s="148"/>
      <c r="I21" s="148"/>
      <c r="J21" s="148"/>
      <c r="K21" s="148"/>
      <c r="L21" s="148"/>
    </row>
    <row r="22" spans="1:12" x14ac:dyDescent="0.25">
      <c r="A22" s="149"/>
      <c r="B22" s="163" t="s">
        <v>128</v>
      </c>
      <c r="C22" s="149"/>
      <c r="D22" s="148"/>
      <c r="E22" s="151"/>
      <c r="F22" s="153"/>
      <c r="G22" s="148"/>
      <c r="H22" s="148"/>
      <c r="I22" s="148"/>
      <c r="J22" s="148"/>
      <c r="K22" s="148"/>
      <c r="L22" s="148"/>
    </row>
    <row r="23" spans="1:12" x14ac:dyDescent="0.25">
      <c r="A23" s="149"/>
      <c r="B23" s="147"/>
      <c r="C23" s="149"/>
      <c r="D23" s="148"/>
      <c r="E23" s="151"/>
      <c r="F23" s="153"/>
      <c r="G23" s="148"/>
      <c r="H23" s="148"/>
      <c r="I23" s="148"/>
      <c r="J23" s="148"/>
      <c r="K23" s="148"/>
      <c r="L23" s="148"/>
    </row>
    <row r="24" spans="1:12" x14ac:dyDescent="0.25">
      <c r="A24" s="149">
        <v>9</v>
      </c>
      <c r="B24" s="147" t="s">
        <v>131</v>
      </c>
      <c r="C24" s="149">
        <v>2023</v>
      </c>
      <c r="D24" s="148">
        <v>4391.6499999999996</v>
      </c>
      <c r="E24" s="151">
        <v>0.33333000000000002</v>
      </c>
      <c r="F24" s="153">
        <v>12</v>
      </c>
      <c r="G24" s="148">
        <f>'2024 Marius'!K24</f>
        <v>2731.8</v>
      </c>
      <c r="H24" s="148"/>
      <c r="I24" s="148"/>
      <c r="J24" s="148">
        <f t="shared" ref="J24:J25" si="1">(D24*E24)*F24/12</f>
        <v>1463.8686944999999</v>
      </c>
      <c r="K24" s="148">
        <f t="shared" ref="K24" si="2">G24-J24</f>
        <v>1267.9313055000002</v>
      </c>
      <c r="L24" s="148"/>
    </row>
    <row r="25" spans="1:12" x14ac:dyDescent="0.25">
      <c r="A25" s="149">
        <v>10</v>
      </c>
      <c r="B25" s="147" t="s">
        <v>131</v>
      </c>
      <c r="C25" s="149">
        <v>2024</v>
      </c>
      <c r="D25" s="148">
        <v>3003.26</v>
      </c>
      <c r="E25" s="151">
        <v>0.33333000000000002</v>
      </c>
      <c r="F25" s="153">
        <v>12</v>
      </c>
      <c r="G25" s="148">
        <f>'2024 Marius'!K25</f>
        <v>2305.2800000000002</v>
      </c>
      <c r="H25" s="148"/>
      <c r="I25" s="148"/>
      <c r="J25" s="148">
        <f t="shared" si="1"/>
        <v>1001.0766558000001</v>
      </c>
      <c r="K25" s="148">
        <f>G25-J25</f>
        <v>1304.2033442000002</v>
      </c>
      <c r="L25" s="148"/>
    </row>
    <row r="26" spans="1:12" x14ac:dyDescent="0.25">
      <c r="A26" s="149"/>
      <c r="B26" s="147"/>
      <c r="C26" s="149"/>
      <c r="D26" s="148"/>
      <c r="E26" s="151"/>
      <c r="F26" s="153"/>
      <c r="G26" s="148"/>
      <c r="H26" s="148"/>
      <c r="I26" s="148"/>
      <c r="J26" s="139">
        <f>SUM(J24:J25)</f>
        <v>2464.9453503</v>
      </c>
      <c r="K26" s="139">
        <f>SUM(K24:K25)</f>
        <v>2572.1346497000004</v>
      </c>
      <c r="L26" s="148"/>
    </row>
    <row r="27" spans="1:12" x14ac:dyDescent="0.25">
      <c r="A27" s="149"/>
      <c r="B27" s="147"/>
      <c r="C27" s="149"/>
      <c r="D27" s="148"/>
      <c r="E27" s="151"/>
      <c r="F27" s="153"/>
      <c r="G27" s="148"/>
      <c r="H27" s="148"/>
      <c r="I27" s="148"/>
      <c r="J27" s="148"/>
      <c r="K27" s="148"/>
      <c r="L27" s="148"/>
    </row>
    <row r="28" spans="1:12" x14ac:dyDescent="0.25">
      <c r="A28" s="149"/>
      <c r="B28" s="147"/>
      <c r="C28" s="149"/>
      <c r="D28" s="148"/>
      <c r="E28" s="151"/>
      <c r="F28" s="153"/>
      <c r="G28" s="148"/>
      <c r="H28" s="148"/>
      <c r="I28" s="148"/>
      <c r="J28" s="148"/>
      <c r="K28" s="148"/>
      <c r="L28" s="148"/>
    </row>
    <row r="29" spans="1:12" s="159" customFormat="1" ht="15.75" x14ac:dyDescent="0.25">
      <c r="A29" s="158"/>
      <c r="C29" s="158"/>
      <c r="D29" s="160">
        <f>SUM(D7:D28)</f>
        <v>37321.9</v>
      </c>
      <c r="E29" s="161"/>
      <c r="F29" s="162"/>
      <c r="G29" s="160">
        <v>17779.789999999997</v>
      </c>
      <c r="H29" s="160">
        <f t="shared" ref="H29:L29" si="3">SUM(H7:H28)</f>
        <v>3805.13</v>
      </c>
      <c r="I29" s="160">
        <f t="shared" si="3"/>
        <v>0</v>
      </c>
      <c r="J29" s="160">
        <f>J17+J19+J26</f>
        <v>8069.8303503000006</v>
      </c>
      <c r="K29" s="160">
        <f>K17+K19+K26</f>
        <v>13515.089649699999</v>
      </c>
      <c r="L29" s="160">
        <f t="shared" si="3"/>
        <v>0</v>
      </c>
    </row>
  </sheetData>
  <mergeCells count="3">
    <mergeCell ref="G2:I2"/>
    <mergeCell ref="A5:A6"/>
    <mergeCell ref="B5:B6"/>
  </mergeCells>
  <pageMargins left="0.25" right="0.25" top="0.75" bottom="0.75" header="0.3" footer="0.3"/>
  <pageSetup paperSize="9" scale="9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EE23A-A788-4FEF-AA3C-31049C2B7341}">
  <dimension ref="A2:N29"/>
  <sheetViews>
    <sheetView workbookViewId="0">
      <selection activeCell="M35" sqref="M35"/>
    </sheetView>
  </sheetViews>
  <sheetFormatPr defaultRowHeight="15" x14ac:dyDescent="0.25"/>
  <cols>
    <col min="1" max="1" width="5.28515625" style="24" customWidth="1"/>
    <col min="2" max="2" width="25.28515625" customWidth="1"/>
    <col min="3" max="3" width="13" style="24" customWidth="1"/>
    <col min="4" max="4" width="13.5703125" style="125" customWidth="1"/>
    <col min="5" max="5" width="9.140625" style="150"/>
    <col min="6" max="6" width="7.28515625" style="152" customWidth="1"/>
    <col min="7" max="7" width="15.140625" style="125" customWidth="1"/>
    <col min="8" max="8" width="14.140625" style="125" customWidth="1"/>
    <col min="9" max="9" width="13.7109375" style="125" customWidth="1"/>
    <col min="10" max="11" width="15.140625" style="125" customWidth="1"/>
    <col min="12" max="12" width="12.28515625" style="125" customWidth="1"/>
  </cols>
  <sheetData>
    <row r="2" spans="1:14" ht="15.75" x14ac:dyDescent="0.25">
      <c r="B2" s="164" t="s">
        <v>124</v>
      </c>
      <c r="G2" s="167" t="s">
        <v>126</v>
      </c>
      <c r="H2" s="167"/>
      <c r="I2" s="167"/>
    </row>
    <row r="3" spans="1:14" ht="15.75" x14ac:dyDescent="0.25">
      <c r="B3" s="164" t="s">
        <v>125</v>
      </c>
    </row>
    <row r="5" spans="1:14" s="115" customFormat="1" x14ac:dyDescent="0.25">
      <c r="A5" s="168" t="s">
        <v>107</v>
      </c>
      <c r="B5" s="168" t="s">
        <v>108</v>
      </c>
      <c r="C5" s="154" t="s">
        <v>109</v>
      </c>
      <c r="D5" s="155" t="s">
        <v>110</v>
      </c>
      <c r="E5" s="156" t="s">
        <v>111</v>
      </c>
      <c r="F5" s="157" t="s">
        <v>112</v>
      </c>
      <c r="G5" s="155" t="s">
        <v>110</v>
      </c>
      <c r="H5" s="155" t="s">
        <v>113</v>
      </c>
      <c r="I5" s="155" t="s">
        <v>114</v>
      </c>
      <c r="J5" s="155" t="s">
        <v>115</v>
      </c>
      <c r="K5" s="155" t="s">
        <v>110</v>
      </c>
      <c r="L5" s="155" t="s">
        <v>116</v>
      </c>
    </row>
    <row r="6" spans="1:14" s="115" customFormat="1" x14ac:dyDescent="0.25">
      <c r="A6" s="168"/>
      <c r="B6" s="168"/>
      <c r="C6" s="154" t="s">
        <v>117</v>
      </c>
      <c r="D6" s="155" t="s">
        <v>118</v>
      </c>
      <c r="E6" s="156" t="s">
        <v>119</v>
      </c>
      <c r="F6" s="157"/>
      <c r="G6" s="155" t="s">
        <v>120</v>
      </c>
      <c r="H6" s="155" t="s">
        <v>121</v>
      </c>
      <c r="I6" s="155" t="s">
        <v>121</v>
      </c>
      <c r="J6" s="155" t="s">
        <v>121</v>
      </c>
      <c r="K6" s="155" t="s">
        <v>122</v>
      </c>
      <c r="L6" s="155" t="s">
        <v>123</v>
      </c>
    </row>
    <row r="7" spans="1:14" x14ac:dyDescent="0.25">
      <c r="A7" s="149"/>
      <c r="B7" s="147"/>
      <c r="C7" s="149"/>
      <c r="D7" s="148"/>
      <c r="E7" s="151"/>
      <c r="F7" s="153"/>
      <c r="G7" s="148"/>
      <c r="H7" s="148"/>
      <c r="I7" s="148"/>
      <c r="J7" s="148"/>
      <c r="K7" s="148"/>
      <c r="L7" s="148"/>
    </row>
    <row r="8" spans="1:14" x14ac:dyDescent="0.25">
      <c r="A8" s="149"/>
      <c r="B8" s="163" t="s">
        <v>127</v>
      </c>
      <c r="C8" s="149"/>
      <c r="D8" s="148"/>
      <c r="E8" s="151"/>
      <c r="F8" s="153"/>
      <c r="G8" s="148"/>
      <c r="H8" s="148"/>
      <c r="I8" s="148"/>
      <c r="J8" s="148"/>
      <c r="K8" s="148"/>
      <c r="L8" s="148"/>
    </row>
    <row r="9" spans="1:14" x14ac:dyDescent="0.25">
      <c r="A9" s="149"/>
      <c r="B9" s="147"/>
      <c r="C9" s="149"/>
      <c r="D9" s="148"/>
      <c r="E9" s="151"/>
      <c r="F9" s="153"/>
      <c r="G9" s="148"/>
      <c r="H9" s="148"/>
      <c r="I9" s="148"/>
      <c r="J9" s="148"/>
      <c r="K9" s="148"/>
      <c r="L9" s="148"/>
    </row>
    <row r="10" spans="1:14" x14ac:dyDescent="0.25">
      <c r="A10" s="149">
        <v>1</v>
      </c>
      <c r="B10" s="147" t="s">
        <v>129</v>
      </c>
      <c r="C10" s="149" t="s">
        <v>132</v>
      </c>
      <c r="D10" s="148">
        <v>1520</v>
      </c>
      <c r="E10" s="151">
        <v>0.2</v>
      </c>
      <c r="F10" s="153">
        <v>12</v>
      </c>
      <c r="G10" s="148">
        <v>949.16</v>
      </c>
      <c r="H10" s="148"/>
      <c r="I10" s="148"/>
      <c r="J10" s="148">
        <v>304</v>
      </c>
      <c r="K10" s="148">
        <f>G10-J10</f>
        <v>645.16</v>
      </c>
      <c r="L10" s="148"/>
      <c r="N10" s="125"/>
    </row>
    <row r="11" spans="1:14" x14ac:dyDescent="0.25">
      <c r="A11" s="149">
        <v>2</v>
      </c>
      <c r="B11" s="147" t="s">
        <v>129</v>
      </c>
      <c r="C11" s="149" t="s">
        <v>133</v>
      </c>
      <c r="D11" s="148">
        <v>1020</v>
      </c>
      <c r="E11" s="151">
        <v>0.2</v>
      </c>
      <c r="F11" s="153">
        <v>12</v>
      </c>
      <c r="G11" s="148">
        <v>669.8</v>
      </c>
      <c r="H11" s="148"/>
      <c r="I11" s="148"/>
      <c r="J11" s="148">
        <v>204</v>
      </c>
      <c r="K11" s="148">
        <f t="shared" ref="K11:K16" si="0">G11-J11</f>
        <v>465.79999999999995</v>
      </c>
      <c r="L11" s="148"/>
    </row>
    <row r="12" spans="1:14" x14ac:dyDescent="0.25">
      <c r="A12" s="149">
        <v>3</v>
      </c>
      <c r="B12" s="147" t="s">
        <v>129</v>
      </c>
      <c r="C12" s="149" t="s">
        <v>134</v>
      </c>
      <c r="D12" s="148">
        <v>3541.67</v>
      </c>
      <c r="E12" s="151">
        <v>0.2</v>
      </c>
      <c r="F12" s="153">
        <v>12</v>
      </c>
      <c r="G12" s="148">
        <v>2359.15</v>
      </c>
      <c r="H12" s="148"/>
      <c r="I12" s="148"/>
      <c r="J12" s="148">
        <v>708.33</v>
      </c>
      <c r="K12" s="148">
        <f t="shared" si="0"/>
        <v>1650.8200000000002</v>
      </c>
      <c r="L12" s="148"/>
    </row>
    <row r="13" spans="1:14" x14ac:dyDescent="0.25">
      <c r="A13" s="149">
        <v>4</v>
      </c>
      <c r="B13" s="147" t="s">
        <v>129</v>
      </c>
      <c r="C13" s="149" t="s">
        <v>135</v>
      </c>
      <c r="D13" s="148">
        <v>1403.31</v>
      </c>
      <c r="E13" s="151">
        <v>0.2</v>
      </c>
      <c r="F13" s="153">
        <v>12</v>
      </c>
      <c r="G13" s="148">
        <v>942.56</v>
      </c>
      <c r="H13" s="148"/>
      <c r="I13" s="148"/>
      <c r="J13" s="148">
        <v>280.66000000000003</v>
      </c>
      <c r="K13" s="148">
        <f t="shared" si="0"/>
        <v>661.89999999999986</v>
      </c>
      <c r="L13" s="148"/>
    </row>
    <row r="14" spans="1:14" x14ac:dyDescent="0.25">
      <c r="A14" s="149">
        <v>5</v>
      </c>
      <c r="B14" s="147" t="s">
        <v>129</v>
      </c>
      <c r="C14" s="149" t="s">
        <v>136</v>
      </c>
      <c r="D14" s="148">
        <v>1074.06</v>
      </c>
      <c r="E14" s="151">
        <v>0.2</v>
      </c>
      <c r="F14" s="153">
        <v>12</v>
      </c>
      <c r="G14" s="148">
        <v>752.43</v>
      </c>
      <c r="H14" s="148"/>
      <c r="I14" s="148"/>
      <c r="J14" s="148">
        <v>214.82</v>
      </c>
      <c r="K14" s="148">
        <f t="shared" si="0"/>
        <v>537.6099999999999</v>
      </c>
      <c r="L14" s="148"/>
    </row>
    <row r="15" spans="1:14" x14ac:dyDescent="0.25">
      <c r="A15" s="149"/>
      <c r="B15" s="147"/>
      <c r="C15" s="149"/>
      <c r="D15" s="148"/>
      <c r="E15" s="151"/>
      <c r="F15" s="153"/>
      <c r="G15" s="148"/>
      <c r="H15" s="148"/>
      <c r="I15" s="148"/>
      <c r="J15" s="148"/>
      <c r="K15" s="148"/>
      <c r="L15" s="148"/>
    </row>
    <row r="16" spans="1:14" x14ac:dyDescent="0.25">
      <c r="A16" s="149">
        <v>6</v>
      </c>
      <c r="B16" s="147" t="s">
        <v>130</v>
      </c>
      <c r="C16" s="149" t="s">
        <v>136</v>
      </c>
      <c r="D16" s="148">
        <v>17562.82</v>
      </c>
      <c r="E16" s="151">
        <v>0.2</v>
      </c>
      <c r="F16" s="153">
        <v>12</v>
      </c>
      <c r="G16" s="148">
        <v>12293.98</v>
      </c>
      <c r="H16" s="148"/>
      <c r="I16" s="148"/>
      <c r="J16" s="148">
        <v>3512.56</v>
      </c>
      <c r="K16" s="148">
        <f t="shared" si="0"/>
        <v>8781.42</v>
      </c>
      <c r="L16" s="148"/>
    </row>
    <row r="17" spans="1:12" x14ac:dyDescent="0.25">
      <c r="A17" s="149"/>
      <c r="B17" s="147"/>
      <c r="C17" s="149"/>
      <c r="D17" s="148"/>
      <c r="E17" s="151"/>
      <c r="F17" s="153"/>
      <c r="G17" s="148"/>
      <c r="H17" s="148"/>
      <c r="I17" s="148"/>
      <c r="J17" s="148"/>
      <c r="K17" s="148"/>
      <c r="L17" s="148"/>
    </row>
    <row r="18" spans="1:12" x14ac:dyDescent="0.25">
      <c r="A18" s="149"/>
      <c r="B18" s="147"/>
      <c r="C18" s="149"/>
      <c r="D18" s="148"/>
      <c r="E18" s="151"/>
      <c r="F18" s="153"/>
      <c r="G18" s="148"/>
      <c r="H18" s="148"/>
      <c r="I18" s="148"/>
      <c r="J18" s="148"/>
      <c r="K18" s="148"/>
      <c r="L18" s="148"/>
    </row>
    <row r="19" spans="1:12" x14ac:dyDescent="0.25">
      <c r="A19" s="149"/>
      <c r="B19" s="147"/>
      <c r="C19" s="165"/>
      <c r="D19" s="148"/>
      <c r="E19" s="151"/>
      <c r="F19" s="153"/>
      <c r="G19" s="148"/>
      <c r="H19" s="148"/>
      <c r="I19" s="148"/>
      <c r="K19" s="148"/>
      <c r="L19" s="148"/>
    </row>
    <row r="20" spans="1:12" x14ac:dyDescent="0.25">
      <c r="A20" s="149"/>
      <c r="B20" s="147"/>
      <c r="C20" s="149"/>
      <c r="D20" s="148"/>
      <c r="E20" s="151"/>
      <c r="F20" s="153"/>
      <c r="G20" s="148"/>
      <c r="H20" s="148"/>
      <c r="I20" s="148"/>
      <c r="J20" s="148"/>
      <c r="K20" s="148"/>
      <c r="L20" s="148"/>
    </row>
    <row r="21" spans="1:12" x14ac:dyDescent="0.25">
      <c r="A21" s="149"/>
      <c r="B21" s="147"/>
      <c r="C21" s="149"/>
      <c r="D21" s="148"/>
      <c r="E21" s="151"/>
      <c r="F21" s="153"/>
      <c r="G21" s="148"/>
      <c r="H21" s="148"/>
      <c r="I21" s="148"/>
      <c r="J21" s="148"/>
      <c r="K21" s="148"/>
      <c r="L21" s="148"/>
    </row>
    <row r="22" spans="1:12" x14ac:dyDescent="0.25">
      <c r="A22" s="149"/>
      <c r="B22" s="163" t="s">
        <v>128</v>
      </c>
      <c r="C22" s="149"/>
      <c r="D22" s="148"/>
      <c r="E22" s="151"/>
      <c r="F22" s="153"/>
      <c r="G22" s="148"/>
      <c r="H22" s="148"/>
      <c r="I22" s="148"/>
      <c r="J22" s="148"/>
      <c r="K22" s="148"/>
      <c r="L22" s="148"/>
    </row>
    <row r="23" spans="1:12" x14ac:dyDescent="0.25">
      <c r="A23" s="149"/>
      <c r="B23" s="147"/>
      <c r="C23" s="149"/>
      <c r="D23" s="148"/>
      <c r="E23" s="151"/>
      <c r="F23" s="153"/>
      <c r="G23" s="148"/>
      <c r="H23" s="148"/>
      <c r="I23" s="148"/>
      <c r="J23" s="148"/>
      <c r="K23" s="148"/>
      <c r="L23" s="148"/>
    </row>
    <row r="24" spans="1:12" x14ac:dyDescent="0.25">
      <c r="A24" s="149">
        <v>7</v>
      </c>
      <c r="B24" s="147" t="s">
        <v>131</v>
      </c>
      <c r="C24" s="149">
        <v>2023</v>
      </c>
      <c r="D24" s="148">
        <v>4391.6499999999996</v>
      </c>
      <c r="E24" s="151">
        <v>0.33333000000000002</v>
      </c>
      <c r="F24" s="153">
        <v>12</v>
      </c>
      <c r="G24" s="148">
        <v>4195.68</v>
      </c>
      <c r="H24" s="148"/>
      <c r="I24" s="148"/>
      <c r="J24" s="148">
        <v>1463.88</v>
      </c>
      <c r="K24" s="148">
        <f>G24-J24</f>
        <v>2731.8</v>
      </c>
      <c r="L24" s="148"/>
    </row>
    <row r="25" spans="1:12" x14ac:dyDescent="0.25">
      <c r="A25" s="149">
        <v>8</v>
      </c>
      <c r="B25" s="147" t="s">
        <v>131</v>
      </c>
      <c r="C25" s="149">
        <v>2024</v>
      </c>
      <c r="D25" s="148">
        <v>3003.26</v>
      </c>
      <c r="E25" s="151">
        <v>0.33333000000000002</v>
      </c>
      <c r="F25" s="153">
        <v>9</v>
      </c>
      <c r="G25" s="148"/>
      <c r="H25" s="148">
        <v>3003.26</v>
      </c>
      <c r="I25" s="148"/>
      <c r="J25" s="148">
        <v>697.98</v>
      </c>
      <c r="K25" s="148">
        <f>H25-J25</f>
        <v>2305.2800000000002</v>
      </c>
      <c r="L25" s="148"/>
    </row>
    <row r="26" spans="1:12" x14ac:dyDescent="0.25">
      <c r="A26" s="149"/>
      <c r="B26" s="147"/>
      <c r="C26" s="149"/>
      <c r="D26" s="148"/>
      <c r="E26" s="151"/>
      <c r="F26" s="153"/>
      <c r="G26" s="148"/>
      <c r="H26" s="148"/>
      <c r="I26" s="148"/>
      <c r="J26" s="148"/>
      <c r="K26" s="148"/>
      <c r="L26" s="148"/>
    </row>
    <row r="27" spans="1:12" x14ac:dyDescent="0.25">
      <c r="A27" s="149"/>
      <c r="B27" s="147"/>
      <c r="C27" s="149"/>
      <c r="D27" s="148"/>
      <c r="E27" s="151"/>
      <c r="F27" s="153"/>
      <c r="G27" s="148"/>
      <c r="H27" s="148"/>
      <c r="I27" s="148"/>
      <c r="J27" s="148"/>
      <c r="K27" s="148"/>
      <c r="L27" s="148"/>
    </row>
    <row r="28" spans="1:12" x14ac:dyDescent="0.25">
      <c r="A28" s="149"/>
      <c r="B28" s="147"/>
      <c r="C28" s="149"/>
      <c r="D28" s="148"/>
      <c r="E28" s="151"/>
      <c r="F28" s="153"/>
      <c r="G28" s="148"/>
      <c r="H28" s="148"/>
      <c r="I28" s="148"/>
      <c r="J28" s="148"/>
      <c r="K28" s="148"/>
      <c r="L28" s="148"/>
    </row>
    <row r="29" spans="1:12" s="86" customFormat="1" ht="15.75" x14ac:dyDescent="0.25">
      <c r="A29" s="64"/>
      <c r="C29" s="64"/>
      <c r="D29" s="160">
        <f>SUM(D7:D28)</f>
        <v>33516.770000000004</v>
      </c>
      <c r="E29" s="161"/>
      <c r="F29" s="162"/>
      <c r="G29" s="160">
        <f t="shared" ref="G29:L29" si="1">SUM(G7:G28)</f>
        <v>22162.760000000002</v>
      </c>
      <c r="H29" s="160">
        <f t="shared" si="1"/>
        <v>3003.26</v>
      </c>
      <c r="I29" s="160">
        <f t="shared" si="1"/>
        <v>0</v>
      </c>
      <c r="J29" s="160">
        <f t="shared" si="1"/>
        <v>7386.23</v>
      </c>
      <c r="K29" s="160">
        <f>SUM(K7:K28)</f>
        <v>17779.789999999997</v>
      </c>
      <c r="L29" s="160">
        <f t="shared" si="1"/>
        <v>0</v>
      </c>
    </row>
  </sheetData>
  <mergeCells count="3">
    <mergeCell ref="B5:B6"/>
    <mergeCell ref="A5:A6"/>
    <mergeCell ref="G2:I2"/>
  </mergeCells>
  <pageMargins left="0.25" right="0.25" top="0.75" bottom="0.75" header="0.3" footer="0.3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12</vt:i4>
      </vt:variant>
      <vt:variant>
        <vt:lpstr>Intervalli denominati</vt:lpstr>
      </vt:variant>
      <vt:variant>
        <vt:i4>12</vt:i4>
      </vt:variant>
    </vt:vector>
  </HeadingPairs>
  <TitlesOfParts>
    <vt:vector size="24" baseType="lpstr">
      <vt:lpstr>Amortissement linéaire</vt:lpstr>
      <vt:lpstr>Amortissement dégressif</vt:lpstr>
      <vt:lpstr>Saisie lin</vt:lpstr>
      <vt:lpstr>Amm auto</vt:lpstr>
      <vt:lpstr>AMM A</vt:lpstr>
      <vt:lpstr>AMM B</vt:lpstr>
      <vt:lpstr>AMM C</vt:lpstr>
      <vt:lpstr>AMM A,B,C</vt:lpstr>
      <vt:lpstr>Amortissements</vt:lpstr>
      <vt:lpstr>2026 Marius</vt:lpstr>
      <vt:lpstr>2025 Marius</vt:lpstr>
      <vt:lpstr>2024 Marius</vt:lpstr>
      <vt:lpstr>'2024 Marius'!Area_stampa</vt:lpstr>
      <vt:lpstr>'2025 Marius'!Area_stampa</vt:lpstr>
      <vt:lpstr>'2026 Marius'!Area_stampa</vt:lpstr>
      <vt:lpstr>'AMM A'!Area_stampa</vt:lpstr>
      <vt:lpstr>'AMM A,B,C'!Area_stampa</vt:lpstr>
      <vt:lpstr>'Amm auto'!Area_stampa</vt:lpstr>
      <vt:lpstr>'AMM B'!Area_stampa</vt:lpstr>
      <vt:lpstr>'AMM C'!Area_stampa</vt:lpstr>
      <vt:lpstr>'Amortissement dégressif'!Area_stampa</vt:lpstr>
      <vt:lpstr>'Amortissement linéaire'!Area_stampa</vt:lpstr>
      <vt:lpstr>Amortissements!Area_stampa</vt:lpstr>
      <vt:lpstr>'Saisie lin'!Area_stampa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Riia Luhtala</dc:creator>
  <cp:lastModifiedBy>Edoardo</cp:lastModifiedBy>
  <cp:lastPrinted>2026-02-24T17:12:00Z</cp:lastPrinted>
  <dcterms:created xsi:type="dcterms:W3CDTF">2020-07-22T10:26:32Z</dcterms:created>
  <dcterms:modified xsi:type="dcterms:W3CDTF">2026-04-24T06:33:28Z</dcterms:modified>
</cp:coreProperties>
</file>