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25DFBC09-38C7-4E79-ACBA-7C2E2466F9F1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DB!$A$1:$AG$1007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003" i="1" l="1"/>
  <c r="H1003" i="1"/>
  <c r="AD1002" i="1"/>
  <c r="AE1002" i="1" s="1"/>
  <c r="H1002" i="1"/>
  <c r="AD1001" i="1"/>
  <c r="AE1001" i="1" s="1"/>
  <c r="H1001" i="1"/>
  <c r="AE1000" i="1"/>
  <c r="H1000" i="1"/>
  <c r="AE999" i="1"/>
  <c r="H999" i="1"/>
  <c r="AE998" i="1"/>
  <c r="H998" i="1"/>
  <c r="AD997" i="1"/>
  <c r="AE997" i="1" s="1"/>
  <c r="H997" i="1"/>
  <c r="AE996" i="1"/>
  <c r="H996" i="1"/>
  <c r="AE995" i="1"/>
  <c r="H995" i="1"/>
  <c r="AE994" i="1"/>
  <c r="H994" i="1"/>
  <c r="AE993" i="1"/>
  <c r="H993" i="1"/>
  <c r="AE992" i="1"/>
  <c r="H992" i="1"/>
  <c r="AD991" i="1"/>
  <c r="AE991" i="1" s="1"/>
  <c r="H991" i="1"/>
  <c r="AD990" i="1"/>
  <c r="AE990" i="1" s="1"/>
  <c r="H990" i="1"/>
  <c r="AD989" i="1"/>
  <c r="AE989" i="1" s="1"/>
  <c r="H989" i="1"/>
  <c r="AE988" i="1"/>
  <c r="H988" i="1"/>
  <c r="AD987" i="1"/>
  <c r="AE987" i="1" s="1"/>
  <c r="H987" i="1"/>
  <c r="AD986" i="1"/>
  <c r="AE986" i="1" s="1"/>
  <c r="H986" i="1"/>
  <c r="AD985" i="1"/>
  <c r="AE985" i="1" s="1"/>
  <c r="H985" i="1"/>
  <c r="AE984" i="1"/>
  <c r="H984" i="1"/>
  <c r="AE983" i="1"/>
  <c r="H983" i="1"/>
  <c r="AD982" i="1"/>
  <c r="AE982" i="1" s="1"/>
  <c r="H982" i="1"/>
  <c r="AD981" i="1"/>
  <c r="AE981" i="1" s="1"/>
  <c r="H981" i="1"/>
  <c r="AE980" i="1"/>
  <c r="H980" i="1"/>
  <c r="AE979" i="1"/>
  <c r="H979" i="1"/>
  <c r="AE978" i="1"/>
  <c r="H978" i="1"/>
  <c r="AD977" i="1"/>
  <c r="AE977" i="1" s="1"/>
  <c r="H977" i="1"/>
  <c r="AD976" i="1"/>
  <c r="AE976" i="1" s="1"/>
  <c r="H976" i="1"/>
  <c r="AE975" i="1"/>
  <c r="H975" i="1"/>
  <c r="AE974" i="1"/>
  <c r="H974" i="1"/>
  <c r="AD973" i="1"/>
  <c r="AE973" i="1" s="1"/>
  <c r="H973" i="1"/>
  <c r="AD972" i="1"/>
  <c r="AE972" i="1" s="1"/>
  <c r="H972" i="1"/>
  <c r="AD971" i="1"/>
  <c r="AE971" i="1" s="1"/>
  <c r="H971" i="1"/>
  <c r="AE970" i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D958" i="1"/>
  <c r="AE958" i="1" s="1"/>
  <c r="H958" i="1"/>
  <c r="AD957" i="1"/>
  <c r="AE957" i="1" s="1"/>
  <c r="H957" i="1"/>
  <c r="AE956" i="1"/>
  <c r="H956" i="1"/>
  <c r="AE955" i="1"/>
  <c r="H955" i="1"/>
  <c r="AE954" i="1"/>
  <c r="H954" i="1"/>
  <c r="AE953" i="1"/>
  <c r="H953" i="1"/>
  <c r="AE952" i="1"/>
  <c r="H952" i="1"/>
  <c r="AD951" i="1"/>
  <c r="AE951" i="1" s="1"/>
  <c r="H951" i="1"/>
  <c r="AE950" i="1"/>
  <c r="H950" i="1"/>
  <c r="AE949" i="1"/>
  <c r="H949" i="1"/>
  <c r="AE948" i="1"/>
  <c r="H948" i="1"/>
  <c r="AD947" i="1"/>
  <c r="AE947" i="1" s="1"/>
  <c r="H947" i="1"/>
  <c r="AD946" i="1"/>
  <c r="AE946" i="1" s="1"/>
  <c r="H946" i="1"/>
  <c r="AE945" i="1"/>
  <c r="H945" i="1"/>
  <c r="AD944" i="1"/>
  <c r="AE944" i="1" s="1"/>
  <c r="H944" i="1"/>
  <c r="AD943" i="1"/>
  <c r="AE943" i="1" s="1"/>
  <c r="H943" i="1"/>
  <c r="AD942" i="1"/>
  <c r="AE942" i="1" s="1"/>
  <c r="H942" i="1"/>
  <c r="AD941" i="1"/>
  <c r="AE941" i="1" s="1"/>
  <c r="H941" i="1"/>
  <c r="AE940" i="1"/>
  <c r="H940" i="1"/>
  <c r="AD939" i="1"/>
  <c r="AE939" i="1" s="1"/>
  <c r="H939" i="1"/>
  <c r="AD938" i="1"/>
  <c r="AE938" i="1" s="1"/>
  <c r="H938" i="1"/>
  <c r="AE937" i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B829" i="1"/>
  <c r="AE829" i="1" s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B315" i="1"/>
  <c r="AD315" i="1" s="1"/>
  <c r="H315" i="1"/>
  <c r="AB314" i="1"/>
  <c r="H314" i="1"/>
  <c r="AB313" i="1"/>
  <c r="AE313" i="1" s="1"/>
  <c r="H313" i="1"/>
  <c r="AB312" i="1"/>
  <c r="AE312" i="1" s="1"/>
  <c r="H312" i="1"/>
  <c r="H311" i="1"/>
  <c r="AB310" i="1"/>
  <c r="AB311" i="1" s="1"/>
  <c r="AE311" i="1" s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B296" i="1"/>
  <c r="AD296" i="1" s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B247" i="1"/>
  <c r="AD247" i="1" s="1"/>
  <c r="AE247" i="1" s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B208" i="1"/>
  <c r="AE208" i="1" s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B199" i="1"/>
  <c r="AD199" i="1" s="1"/>
  <c r="H199" i="1"/>
  <c r="AB198" i="1"/>
  <c r="AE198" i="1" s="1"/>
  <c r="H198" i="1"/>
  <c r="H197" i="1"/>
  <c r="AB196" i="1"/>
  <c r="AE196" i="1" s="1"/>
  <c r="H196" i="1"/>
  <c r="AE195" i="1"/>
  <c r="H195" i="1"/>
  <c r="AE194" i="1"/>
  <c r="H194" i="1"/>
  <c r="AB193" i="1"/>
  <c r="AD193" i="1" s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H172" i="1"/>
  <c r="AB171" i="1"/>
  <c r="AB172" i="1" s="1"/>
  <c r="AE172" i="1" s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B151" i="1"/>
  <c r="AD151" i="1" s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B117" i="1"/>
  <c r="AD117" i="1" s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B83" i="1"/>
  <c r="AD83" i="1" s="1"/>
  <c r="H83" i="1"/>
  <c r="AB82" i="1"/>
  <c r="AD82" i="1" s="1"/>
  <c r="H82" i="1"/>
  <c r="AB81" i="1"/>
  <c r="AE81" i="1" s="1"/>
  <c r="H81" i="1"/>
  <c r="AB80" i="1"/>
  <c r="AE80" i="1" s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B237" i="1" l="1"/>
  <c r="AE237" i="1" s="1"/>
  <c r="AB108" i="1"/>
  <c r="AE108" i="1" s="1"/>
  <c r="AB197" i="1"/>
  <c r="AE197" i="1" s="1"/>
  <c r="AE171" i="1"/>
  <c r="AE310" i="1"/>
  <c r="AE83" i="1"/>
  <c r="AE82" i="1"/>
  <c r="AB84" i="1" s="1"/>
  <c r="AE84" i="1" s="1"/>
  <c r="AH3" i="1"/>
  <c r="AH4" i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1007" i="1"/>
  <c r="AE902" i="1"/>
  <c r="AH84" i="1" l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s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  <c r="AH997" i="1" s="1"/>
  <c r="AH998" i="1" s="1"/>
  <c r="AH999" i="1" s="1"/>
  <c r="AH1000" i="1" s="1"/>
  <c r="AH1001" i="1" s="1"/>
  <c r="AH1002" i="1" s="1"/>
  <c r="AH1003" i="1" s="1"/>
</calcChain>
</file>

<file path=xl/sharedStrings.xml><?xml version="1.0" encoding="utf-8"?>
<sst xmlns="http://schemas.openxmlformats.org/spreadsheetml/2006/main" count="18170" uniqueCount="984">
  <si>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</si>
  <si>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</si>
  <si>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</si>
  <si>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</si>
  <si>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</si>
  <si>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</si>
  <si>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</si>
  <si>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</si>
  <si>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</si>
  <si>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</si>
  <si>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</si>
  <si>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</si>
  <si>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</si>
  <si>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</si>
  <si>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</si>
  <si>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</si>
  <si>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</si>
  <si>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</si>
  <si>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</si>
  <si>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</si>
  <si>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</si>
  <si>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</si>
  <si>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</si>
  <si>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</si>
  <si>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</si>
  <si>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</si>
  <si>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</si>
  <si>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</si>
  <si>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</si>
  <si>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</si>
  <si>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</si>
  <si>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</si>
  <si>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</si>
  <si>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</si>
  <si>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</si>
  <si>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</si>
  <si>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</si>
  <si>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</si>
  <si>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</si>
  <si>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</si>
  <si>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</si>
  <si>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</si>
  <si>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</si>
  <si>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</si>
  <si>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</si>
  <si>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</si>
  <si>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</si>
  <si>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</si>
  <si>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</si>
  <si>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</si>
  <si>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</si>
  <si>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</si>
  <si>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</si>
  <si>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</si>
  <si>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</si>
  <si>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</si>
  <si>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</si>
  <si>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</si>
  <si>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</si>
  <si>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</si>
  <si>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</si>
  <si>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</si>
  <si>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</si>
  <si>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</si>
  <si>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</si>
  <si>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</si>
  <si>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</si>
  <si>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</si>
  <si>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</si>
  <si>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</si>
  <si>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</si>
  <si>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</si>
  <si>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</si>
  <si>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</si>
  <si>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</si>
  <si>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</si>
  <si>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</si>
  <si>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</si>
  <si>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</si>
  <si>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</si>
  <si>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</si>
  <si>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</si>
  <si>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</si>
  <si>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</si>
  <si>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</si>
  <si>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</si>
  <si>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</si>
  <si>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</si>
  <si>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</si>
  <si>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</si>
  <si>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</si>
  <si>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</si>
  <si>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</si>
  <si>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</si>
  <si>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</si>
  <si>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</si>
  <si>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</si>
  <si>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</si>
  <si>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</si>
  <si>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</si>
  <si>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</si>
  <si>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</si>
  <si>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</si>
  <si>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</si>
  <si>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</si>
  <si>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</si>
  <si>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</si>
  <si>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</si>
  <si>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</si>
  <si>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</si>
  <si>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</si>
  <si>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</si>
  <si>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</si>
  <si>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</si>
  <si>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</si>
  <si>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</si>
  <si>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</si>
  <si>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</si>
  <si>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</si>
  <si>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</si>
  <si>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</si>
  <si>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</si>
  <si>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</si>
  <si>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</si>
  <si>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</si>
  <si>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</si>
  <si>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</si>
  <si>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</si>
  <si>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</si>
  <si>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</si>
  <si>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</si>
  <si>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</si>
  <si>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</si>
  <si>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</si>
  <si>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</si>
  <si>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</si>
  <si>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</si>
  <si>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</si>
  <si>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</si>
  <si>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</si>
  <si>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</si>
  <si>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</si>
  <si>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</si>
  <si>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</si>
  <si>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</si>
  <si>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</si>
  <si>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</si>
  <si>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</si>
  <si>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</si>
  <si>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</si>
  <si>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</si>
  <si>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</si>
  <si>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</si>
  <si>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</si>
  <si>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</si>
  <si>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</si>
  <si>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</si>
  <si>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</si>
  <si>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</si>
  <si>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</si>
  <si>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</si>
  <si>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</si>
  <si>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</si>
  <si>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</si>
  <si>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</si>
  <si>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</si>
  <si>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</si>
  <si>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</si>
  <si>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</si>
  <si>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</si>
  <si>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</si>
  <si>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</si>
  <si>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</si>
  <si>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</si>
  <si>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</si>
  <si>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</si>
  <si>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</si>
  <si>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</si>
  <si>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</si>
  <si>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</si>
  <si>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</si>
  <si>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</si>
  <si>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</si>
  <si>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</si>
  <si>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</si>
  <si>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</si>
  <si>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</si>
  <si>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</si>
  <si>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</si>
  <si>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</si>
  <si>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</si>
  <si>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</si>
  <si>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</si>
  <si>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</si>
  <si>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</si>
  <si>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</si>
  <si>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</si>
  <si>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</si>
  <si>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</si>
  <si>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</si>
  <si>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</si>
  <si>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</si>
  <si>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</si>
  <si>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</si>
  <si>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</si>
  <si>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</si>
  <si>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</si>
  <si>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</si>
  <si>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</si>
  <si>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</si>
  <si>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</si>
  <si>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</si>
  <si>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</si>
  <si>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</si>
  <si>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</si>
  <si>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</si>
  <si>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</si>
  <si>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</si>
  <si>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</si>
  <si>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</si>
  <si>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</si>
  <si>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</si>
  <si>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</si>
  <si>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</si>
  <si>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</si>
  <si>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</si>
  <si>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</si>
  <si>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</si>
  <si>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</si>
  <si>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</si>
  <si>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</si>
  <si>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</si>
  <si>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</si>
  <si>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</si>
  <si>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</si>
  <si>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</si>
  <si>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</si>
  <si>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</si>
  <si>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</si>
  <si>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</si>
  <si>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</si>
  <si>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</si>
  <si>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</si>
  <si>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</si>
  <si>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</si>
  <si>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</si>
  <si>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</si>
  <si>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</si>
  <si>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</si>
  <si>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</si>
  <si>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</si>
  <si>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</si>
  <si>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</si>
  <si>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</si>
  <si>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</si>
  <si>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</si>
  <si>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</si>
  <si>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</si>
  <si>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</si>
  <si>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</si>
  <si>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</si>
  <si>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</si>
  <si>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</si>
  <si>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</si>
  <si>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</si>
  <si>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</si>
  <si>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</si>
  <si>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</si>
  <si>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</si>
  <si>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</si>
  <si>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</si>
  <si>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</si>
  <si>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</si>
  <si>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</si>
  <si>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</si>
  <si>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</si>
  <si>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</si>
  <si>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</si>
  <si>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</si>
  <si>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</si>
  <si>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</si>
  <si>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</si>
  <si>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</si>
  <si>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</si>
  <si>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</si>
  <si>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</si>
  <si>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</si>
  <si>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</si>
  <si>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</si>
  <si>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</si>
  <si>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</si>
  <si>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</si>
  <si>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</si>
  <si>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</si>
  <si>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</si>
  <si>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</si>
  <si>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</si>
  <si>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</si>
  <si>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</si>
  <si>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</si>
  <si>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</si>
  <si>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</si>
  <si>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</si>
  <si>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</si>
  <si>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</si>
  <si>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</si>
  <si>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</si>
  <si>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</si>
  <si>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</si>
  <si>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</si>
  <si>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</si>
  <si>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</si>
  <si>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</si>
  <si>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</si>
  <si>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</si>
  <si>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</si>
  <si>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</si>
  <si>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</si>
  <si>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</si>
  <si>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</si>
  <si>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</si>
  <si>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</si>
  <si>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</si>
  <si>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</si>
  <si>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</si>
  <si>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</si>
  <si>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</si>
  <si>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</si>
  <si>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</si>
  <si>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</si>
  <si>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</si>
  <si>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</si>
  <si>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</si>
  <si>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</si>
  <si>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</si>
  <si>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</si>
  <si>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</si>
  <si>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</si>
  <si>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</si>
  <si>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</si>
  <si>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</si>
  <si>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</si>
  <si>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</si>
  <si>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</si>
  <si>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</si>
  <si>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</si>
  <si>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</si>
  <si>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</si>
  <si>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</si>
  <si>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</si>
  <si>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</si>
  <si>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</si>
  <si>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</si>
  <si>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</si>
  <si>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</si>
  <si>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</si>
  <si>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</si>
  <si>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</si>
  <si>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</si>
  <si>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</si>
  <si>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</si>
  <si>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</si>
  <si>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</si>
  <si>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</si>
  <si>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</si>
  <si>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</si>
  <si>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</si>
  <si>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</si>
  <si>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</si>
  <si>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</si>
  <si>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</si>
  <si>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</si>
  <si>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</si>
  <si>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</si>
  <si>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</si>
  <si>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</si>
  <si>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</si>
  <si>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</si>
  <si>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</si>
  <si>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</si>
  <si>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</si>
  <si>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</si>
  <si>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</si>
  <si>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</si>
  <si>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</si>
  <si>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</si>
  <si>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</si>
  <si>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</si>
  <si>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</si>
  <si>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</si>
  <si>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</si>
  <si>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</si>
  <si>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</si>
  <si>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</si>
  <si>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</si>
  <si>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</si>
  <si>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</si>
  <si>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</si>
  <si>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</si>
  <si>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</si>
  <si>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</si>
  <si>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</si>
  <si>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</si>
  <si>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</si>
  <si>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</si>
  <si>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</si>
  <si>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</si>
  <si>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</si>
  <si>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</si>
  <si>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</si>
  <si>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</si>
  <si>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</si>
  <si>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</si>
  <si>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</si>
  <si>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</si>
  <si>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</si>
  <si>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</si>
  <si>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</si>
  <si>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</si>
  <si>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</si>
  <si>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</si>
  <si>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</si>
  <si>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</si>
  <si>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</si>
  <si>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</si>
  <si>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</si>
  <si>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</si>
  <si>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</si>
  <si>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</si>
  <si>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</si>
  <si>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</si>
  <si>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</si>
  <si>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</si>
  <si>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</si>
  <si>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</si>
  <si>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</si>
  <si>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</si>
  <si>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</si>
  <si>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</si>
  <si>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</si>
  <si>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</si>
  <si>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</si>
  <si>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</si>
  <si>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</si>
  <si>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</si>
  <si>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</si>
  <si>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</si>
  <si>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</si>
  <si>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</si>
  <si>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</si>
  <si>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</si>
  <si>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</si>
  <si>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</si>
  <si>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</si>
  <si>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</si>
  <si>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</si>
  <si>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</si>
  <si>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</si>
  <si>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</si>
  <si>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</si>
  <si>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</si>
  <si>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</si>
  <si>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</si>
  <si>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</si>
  <si>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</si>
  <si>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</si>
  <si>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</si>
  <si>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</si>
  <si>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</si>
  <si>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</si>
  <si>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</si>
  <si>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</si>
  <si>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</si>
  <si>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</si>
  <si>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</si>
  <si>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</si>
  <si>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</si>
  <si>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</si>
  <si>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</si>
  <si>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</si>
  <si>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</si>
  <si>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</si>
  <si>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</si>
  <si>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</si>
  <si>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</si>
  <si>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</si>
  <si>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</si>
  <si>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</si>
  <si>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</si>
  <si>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</si>
  <si>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</si>
  <si>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</si>
  <si>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</si>
  <si>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</si>
  <si>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</si>
  <si>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</si>
  <si>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</si>
  <si>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</si>
  <si>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</si>
  <si>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</si>
  <si>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</si>
  <si>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</si>
  <si>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</si>
  <si>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</si>
  <si>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</si>
  <si>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</si>
  <si>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</si>
  <si>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</si>
  <si>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</si>
  <si>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</si>
  <si>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</si>
  <si>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</si>
  <si>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</si>
  <si>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</si>
  <si>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</si>
  <si>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</si>
  <si>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</si>
  <si>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</si>
  <si>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</si>
  <si>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</si>
  <si>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</si>
  <si>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</si>
  <si>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</si>
  <si>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</si>
  <si>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</si>
  <si>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</si>
  <si>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</si>
  <si>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</si>
  <si>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</si>
  <si>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</si>
  <si>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</si>
  <si>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</si>
  <si>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</si>
  <si>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</si>
  <si>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</si>
  <si>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</si>
  <si>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</si>
  <si>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</si>
  <si>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</si>
  <si>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</si>
  <si>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</si>
  <si>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</si>
  <si>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</si>
  <si>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</si>
  <si>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</si>
  <si>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</si>
  <si>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</si>
  <si>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</si>
  <si>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</si>
  <si>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</si>
  <si>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</si>
  <si>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</si>
  <si>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</si>
  <si>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</si>
  <si>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</si>
  <si>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</si>
  <si>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</si>
  <si>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</si>
  <si>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</si>
  <si>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</si>
  <si>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</si>
  <si>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</si>
  <si>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</si>
  <si>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</si>
  <si>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</si>
  <si>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</si>
  <si>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</si>
  <si>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</si>
  <si>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</si>
  <si>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</si>
  <si>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</si>
  <si>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</si>
  <si>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</si>
  <si>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</si>
  <si>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</si>
  <si>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</si>
  <si>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</si>
  <si>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</si>
  <si>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</si>
  <si>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</si>
  <si>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</si>
  <si>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</si>
  <si>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</si>
  <si>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</si>
  <si>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</si>
  <si>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</si>
  <si>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</si>
  <si>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</si>
  <si>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</si>
  <si>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</si>
  <si>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</si>
  <si>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</si>
  <si>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</si>
  <si>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</si>
  <si>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</si>
  <si>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</si>
  <si>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</si>
  <si>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</si>
  <si>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</si>
  <si>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</si>
  <si>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</si>
  <si>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</si>
  <si>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</si>
  <si>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</si>
  <si>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</si>
  <si>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</si>
  <si>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</si>
  <si>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</si>
  <si>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</si>
  <si>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</si>
  <si>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</si>
  <si>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</si>
  <si>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</si>
  <si>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</si>
  <si>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</si>
  <si>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</si>
  <si>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</si>
  <si>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</si>
  <si>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</si>
  <si>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</si>
  <si>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</si>
  <si>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</si>
  <si>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</si>
  <si>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</si>
  <si>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</si>
  <si>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</si>
  <si>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</si>
  <si>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</si>
  <si>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</si>
  <si>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</si>
  <si>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</si>
  <si>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</si>
  <si>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</si>
  <si>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</si>
  <si>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</si>
  <si>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</si>
  <si>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</si>
  <si>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</si>
  <si>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</si>
  <si>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</si>
  <si>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</si>
  <si>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</si>
  <si>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</si>
  <si>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</si>
  <si>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</si>
  <si>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</si>
  <si>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</si>
  <si>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</si>
  <si>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</si>
  <si>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</si>
  <si>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</si>
  <si>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</si>
  <si>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</si>
  <si>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</si>
  <si>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</si>
  <si>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</si>
  <si>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</si>
  <si>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</si>
  <si>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</si>
  <si>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</si>
  <si>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</si>
  <si>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</si>
  <si>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</si>
  <si>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</si>
  <si>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</si>
  <si>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</si>
  <si>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</si>
  <si>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</si>
  <si>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</si>
  <si>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</si>
  <si>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</si>
  <si>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</si>
  <si>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</si>
  <si>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</si>
  <si>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</si>
  <si>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</si>
  <si>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</si>
  <si>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</si>
  <si>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</si>
  <si>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</si>
  <si>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</si>
  <si>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</si>
  <si>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</si>
  <si>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</si>
  <si>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</si>
  <si>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</si>
  <si>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</si>
  <si>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</si>
  <si>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</si>
  <si>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</si>
  <si>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</si>
  <si>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</si>
  <si>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</si>
  <si>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</si>
  <si>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</si>
  <si>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</si>
  <si>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</si>
  <si>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</si>
  <si>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</si>
  <si>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</si>
  <si>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</si>
  <si>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</si>
  <si>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</si>
  <si>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</si>
  <si>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</si>
  <si>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</si>
  <si>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</si>
  <si>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</si>
  <si>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</si>
  <si>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</si>
  <si>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</si>
  <si>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</si>
  <si>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</si>
  <si>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</si>
  <si>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</si>
  <si>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</si>
  <si>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</si>
  <si>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</si>
  <si>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</si>
  <si>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</si>
  <si>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</si>
  <si>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</si>
  <si>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</si>
  <si>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</si>
  <si>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</si>
  <si>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</si>
  <si>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</si>
  <si>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</si>
  <si>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</si>
  <si>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</si>
  <si>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</si>
  <si>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</si>
  <si>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</si>
  <si>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</si>
  <si>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</si>
  <si>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</si>
  <si>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</si>
  <si>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</si>
  <si>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</si>
  <si>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</si>
  <si>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</si>
  <si>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</si>
  <si>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</si>
  <si>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</si>
  <si>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</si>
  <si>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</si>
  <si>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</si>
  <si>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</si>
  <si>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</si>
  <si>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</si>
  <si>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</si>
  <si>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</si>
  <si>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</si>
  <si>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</si>
  <si>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</si>
  <si>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</si>
  <si>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</si>
  <si>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</si>
  <si>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</si>
  <si>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</si>
  <si>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</si>
  <si>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</si>
  <si>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</si>
  <si>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</si>
  <si>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</si>
  <si>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</si>
  <si>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</si>
  <si>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</si>
  <si>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</si>
  <si>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</si>
  <si>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</si>
  <si>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</si>
  <si>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</si>
  <si>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</si>
  <si>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</si>
  <si>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</si>
  <si>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</si>
  <si>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</si>
  <si>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</si>
  <si>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</si>
  <si>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</si>
  <si>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</si>
  <si>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</si>
  <si>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</si>
  <si>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</si>
  <si>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</si>
  <si>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</si>
  <si>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</si>
  <si>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</si>
  <si>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</si>
  <si>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</si>
  <si>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</si>
  <si>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</si>
  <si>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</si>
  <si>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</si>
  <si>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</si>
  <si>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</si>
  <si>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</si>
  <si>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</si>
  <si>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</si>
  <si>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</si>
  <si>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</si>
  <si>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</si>
  <si>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</si>
  <si>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</si>
  <si>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</si>
  <si>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</si>
  <si>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</si>
  <si>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</si>
  <si>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</si>
  <si>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</si>
  <si>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</si>
  <si>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</si>
  <si>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</si>
  <si>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</si>
  <si>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</si>
  <si>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</si>
  <si>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</si>
  <si>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</si>
  <si>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</si>
  <si>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</si>
  <si>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</si>
  <si>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</si>
  <si>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</si>
  <si>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</si>
  <si>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</si>
  <si>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</si>
  <si>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</si>
  <si>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</si>
  <si>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</si>
  <si>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</si>
  <si>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</si>
  <si>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</si>
  <si>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</si>
  <si>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</si>
  <si>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</si>
  <si>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</si>
  <si>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</si>
  <si>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</si>
  <si>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</si>
  <si>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</si>
  <si>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</si>
  <si>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</si>
  <si>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</si>
  <si>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</si>
  <si>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</si>
  <si>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</si>
  <si>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</si>
  <si>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</si>
  <si>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</si>
  <si>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</si>
  <si>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</si>
  <si>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</si>
  <si>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</si>
  <si>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</si>
  <si>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</si>
  <si>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</si>
  <si>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</si>
  <si>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</si>
  <si>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</si>
  <si>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</si>
  <si>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</si>
  <si>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</si>
  <si>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</si>
  <si>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</si>
  <si>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</si>
  <si>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</si>
  <si>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</si>
  <si>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</si>
  <si>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</si>
  <si>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</si>
  <si>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</si>
  <si>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</si>
  <si>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</si>
  <si>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</si>
  <si>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</si>
  <si>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</si>
  <si>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</si>
  <si>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</si>
  <si>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</si>
  <si>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</si>
  <si>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</si>
  <si>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</si>
  <si>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</si>
  <si>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</si>
  <si>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</si>
  <si>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</si>
  <si>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</si>
  <si>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</si>
  <si>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</si>
  <si>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</si>
  <si>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</si>
  <si>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</si>
  <si>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</si>
  <si>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</si>
  <si>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</si>
  <si>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</si>
  <si>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</si>
  <si>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</si>
  <si>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</si>
  <si>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</si>
  <si>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</si>
  <si>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</si>
  <si>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</si>
  <si>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</si>
  <si>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</si>
  <si>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</si>
  <si>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</si>
  <si>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</si>
  <si>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</si>
  <si>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</si>
  <si>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</si>
  <si>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</si>
  <si>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</si>
  <si>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</si>
  <si>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</si>
  <si>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</si>
  <si>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</si>
  <si>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</si>
  <si>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</si>
  <si>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</si>
  <si>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</si>
  <si>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</si>
  <si>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</si>
  <si>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</si>
  <si>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</si>
  <si>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</si>
  <si>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</si>
  <si>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</si>
  <si>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</si>
  <si>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</si>
  <si>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</si>
  <si>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</si>
  <si>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</si>
  <si>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</si>
  <si>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</si>
  <si>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</si>
  <si>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</si>
  <si>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</si>
  <si>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</si>
  <si>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</si>
  <si>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</si>
  <si>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</si>
  <si>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</si>
  <si>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</si>
  <si>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</si>
  <si>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</si>
  <si>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</si>
  <si>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</si>
  <si>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</si>
  <si>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</si>
  <si>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</si>
  <si>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</si>
  <si>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</si>
  <si>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</si>
  <si>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</si>
  <si>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</si>
  <si>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</si>
  <si>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</si>
  <si>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</si>
  <si>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</si>
  <si>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</si>
  <si>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</si>
  <si>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</si>
  <si>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</si>
  <si>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</si>
  <si>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</si>
  <si>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</si>
  <si>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</si>
  <si>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</si>
  <si>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</si>
  <si>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</si>
  <si>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</si>
  <si>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</si>
  <si>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</si>
  <si>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</si>
  <si>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</si>
  <si>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</si>
  <si>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</si>
  <si>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Transfert vers nouveau compte POST</t>
  </si>
  <si>
    <t>Achat VW Tiguan</t>
  </si>
  <si>
    <t>10-2026</t>
  </si>
  <si>
    <t>Loyer Octobre 2026</t>
  </si>
  <si>
    <t>CASH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</si>
</sst>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dimension ref="A1:AJ1010"/>
  <sheetViews>
    <sheetView tabSelected="1" topLeftCell="Q1" zoomScale="85" zoomScaleNormal="85" workbookViewId="0">
      <pane ySplit="1" topLeftCell="A969" activePane="bottomLeft" state="frozen"/>
      <selection pane="bottomLeft" activeCell="AH997" sqref="AH997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979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979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979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979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979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979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979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979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979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979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4" si="179">AH910+AE911</f>
        <v>63961.051092564092</v>
      </c>
    </row>
    <row r="912" spans="1:34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9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9" si="193">AB936+AD936</f>
        <v>-700.19</v>
      </c>
      <c r="AF936" s="18" t="s">
        <v>45</v>
      </c>
      <c r="AH936" s="20">
        <f t="shared" si="179"/>
        <v>78260.275292564096</v>
      </c>
    </row>
    <row r="937" spans="1:34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0</v>
      </c>
      <c r="AC937" s="16">
        <v>0</v>
      </c>
      <c r="AD937" s="15">
        <v>0</v>
      </c>
      <c r="AE937" s="17">
        <f t="shared" si="193"/>
        <v>0</v>
      </c>
      <c r="AF937" s="18" t="s">
        <v>45</v>
      </c>
      <c r="AH937" s="20">
        <f t="shared" si="179"/>
        <v>78260.275292564096</v>
      </c>
    </row>
    <row r="938" spans="1:34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-2330.5300000000002</v>
      </c>
      <c r="AC938" s="16">
        <v>0.03</v>
      </c>
      <c r="AD938" s="15">
        <f>AB938*AC938</f>
        <v>-69.915900000000008</v>
      </c>
      <c r="AE938" s="17">
        <f t="shared" si="193"/>
        <v>-2400.4459000000002</v>
      </c>
      <c r="AF938" s="18" t="s">
        <v>45</v>
      </c>
      <c r="AH938" s="20">
        <f t="shared" si="179"/>
        <v>75859.82939256409</v>
      </c>
    </row>
    <row r="939" spans="1:34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V939" s="21"/>
      <c r="W939" s="9" t="s">
        <v>91</v>
      </c>
      <c r="X939" s="9" t="s">
        <v>92</v>
      </c>
      <c r="Y939" s="22" t="s">
        <v>67</v>
      </c>
      <c r="Z939" s="18" t="s">
        <v>927</v>
      </c>
      <c r="AB939" s="15">
        <v>-4092.42</v>
      </c>
      <c r="AC939" s="16">
        <v>0.17</v>
      </c>
      <c r="AD939" s="15">
        <f>AB939*AC939</f>
        <v>-695.71140000000003</v>
      </c>
      <c r="AE939" s="17">
        <f t="shared" si="193"/>
        <v>-4788.1314000000002</v>
      </c>
      <c r="AF939" s="18" t="s">
        <v>45</v>
      </c>
      <c r="AH939" s="20">
        <f t="shared" si="179"/>
        <v>71071.697992564092</v>
      </c>
    </row>
    <row r="940" spans="1:34" x14ac:dyDescent="0.2">
      <c r="A940" s="9" t="s">
        <v>86</v>
      </c>
      <c r="B940" s="21">
        <v>46116</v>
      </c>
      <c r="C940" s="21">
        <v>46116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9" t="s">
        <v>38</v>
      </c>
      <c r="L940" s="13" t="s">
        <v>51</v>
      </c>
      <c r="M940" s="9" t="s">
        <v>52</v>
      </c>
      <c r="N940" s="14" t="s">
        <v>53</v>
      </c>
      <c r="O940" s="14" t="s">
        <v>105</v>
      </c>
      <c r="P940" s="14" t="s">
        <v>205</v>
      </c>
      <c r="Q940" s="14" t="s">
        <v>206</v>
      </c>
      <c r="S940" s="9" t="s">
        <v>42</v>
      </c>
      <c r="T940" s="9" t="s">
        <v>43</v>
      </c>
      <c r="U940" s="9" t="s">
        <v>878</v>
      </c>
      <c r="V940" s="21"/>
      <c r="Y940" s="22" t="s">
        <v>67</v>
      </c>
      <c r="Z940" s="18"/>
      <c r="AB940" s="15">
        <v>-7888.77</v>
      </c>
      <c r="AE940" s="17">
        <f>AB940+AD940</f>
        <v>-7888.77</v>
      </c>
      <c r="AF940" s="18" t="s">
        <v>45</v>
      </c>
      <c r="AH940" s="20">
        <f t="shared" si="179"/>
        <v>63182.927992564088</v>
      </c>
    </row>
    <row r="941" spans="1:34" ht="12" customHeight="1" x14ac:dyDescent="0.2">
      <c r="A941" s="18" t="s">
        <v>222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21" t="s">
        <v>58</v>
      </c>
      <c r="L941" s="14" t="s">
        <v>443</v>
      </c>
      <c r="M941" s="18" t="s">
        <v>224</v>
      </c>
      <c r="N941" s="14" t="s">
        <v>444</v>
      </c>
      <c r="O941" s="14" t="s">
        <v>445</v>
      </c>
      <c r="P941" s="14" t="s">
        <v>491</v>
      </c>
      <c r="Q941" s="22" t="s">
        <v>980</v>
      </c>
      <c r="R941" s="14" t="s">
        <v>448</v>
      </c>
      <c r="S941" s="9" t="s">
        <v>42</v>
      </c>
      <c r="T941" s="18" t="s">
        <v>66</v>
      </c>
      <c r="U941" s="18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36">
        <v>-33927.230000000003</v>
      </c>
      <c r="AC941" s="16">
        <v>0.17</v>
      </c>
      <c r="AD941" s="36">
        <f>AB941*AC941</f>
        <v>-5767.629100000001</v>
      </c>
      <c r="AE941" s="17">
        <f>AB941+AD941</f>
        <v>-39694.859100000001</v>
      </c>
      <c r="AF941" s="18" t="s">
        <v>45</v>
      </c>
      <c r="AG941" s="9">
        <v>2026</v>
      </c>
      <c r="AH941" s="20">
        <f t="shared" si="179"/>
        <v>23488.068892564086</v>
      </c>
    </row>
    <row r="942" spans="1:34" x14ac:dyDescent="0.2">
      <c r="A942" s="18" t="s">
        <v>86</v>
      </c>
      <c r="B942" s="21">
        <v>46127</v>
      </c>
      <c r="C942" s="21">
        <v>46127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9" t="s">
        <v>38</v>
      </c>
      <c r="L942" s="13" t="s">
        <v>51</v>
      </c>
      <c r="M942" s="9" t="s">
        <v>52</v>
      </c>
      <c r="N942" s="14" t="s">
        <v>524</v>
      </c>
      <c r="O942" s="14" t="s">
        <v>525</v>
      </c>
      <c r="P942" s="14"/>
      <c r="Q942" s="14" t="s">
        <v>930</v>
      </c>
      <c r="R942" s="14"/>
      <c r="S942" s="9" t="s">
        <v>42</v>
      </c>
      <c r="T942" s="18" t="s">
        <v>66</v>
      </c>
      <c r="U942" s="9" t="s">
        <v>878</v>
      </c>
      <c r="V942" s="21">
        <v>46122</v>
      </c>
      <c r="W942" s="9" t="s">
        <v>91</v>
      </c>
      <c r="X942" s="9" t="s">
        <v>92</v>
      </c>
      <c r="Y942" s="22" t="s">
        <v>928</v>
      </c>
      <c r="Z942" s="18" t="s">
        <v>929</v>
      </c>
      <c r="AB942" s="15">
        <v>-50</v>
      </c>
      <c r="AC942" s="16">
        <v>0</v>
      </c>
      <c r="AD942" s="15">
        <f>AB942*AC942</f>
        <v>0</v>
      </c>
      <c r="AE942" s="17">
        <f t="shared" ref="AE942" si="194">AB942+AD942</f>
        <v>-50</v>
      </c>
      <c r="AF942" s="18" t="s">
        <v>45</v>
      </c>
      <c r="AH942" s="20">
        <f t="shared" si="179"/>
        <v>23438.068892564086</v>
      </c>
    </row>
    <row r="943" spans="1:34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53</v>
      </c>
      <c r="O943" s="14" t="s">
        <v>95</v>
      </c>
      <c r="P943" s="14" t="s">
        <v>598</v>
      </c>
      <c r="Q943" s="14" t="s">
        <v>599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931</v>
      </c>
      <c r="AA943" s="22" t="s">
        <v>601</v>
      </c>
      <c r="AB943" s="15">
        <v>-723.6</v>
      </c>
      <c r="AC943" s="16">
        <v>0.17</v>
      </c>
      <c r="AD943" s="15">
        <f t="shared" ref="AD943" si="195">AB943*AC943</f>
        <v>-123.01200000000001</v>
      </c>
      <c r="AE943" s="17">
        <f>AB943+AD943</f>
        <v>-846.61200000000008</v>
      </c>
      <c r="AF943" s="18" t="s">
        <v>45</v>
      </c>
      <c r="AG943" s="9">
        <v>2026</v>
      </c>
      <c r="AH943" s="20">
        <f t="shared" si="179"/>
        <v>22591.456892564085</v>
      </c>
    </row>
    <row r="944" spans="1:34" x14ac:dyDescent="0.2">
      <c r="A944" s="18" t="s">
        <v>86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604</v>
      </c>
      <c r="O944" s="14" t="s">
        <v>605</v>
      </c>
      <c r="P944" s="14" t="s">
        <v>606</v>
      </c>
      <c r="Q944" s="14" t="s">
        <v>607</v>
      </c>
      <c r="R944" s="22"/>
      <c r="S944" s="18" t="s">
        <v>42</v>
      </c>
      <c r="T944" s="9" t="s">
        <v>43</v>
      </c>
      <c r="U944" s="18" t="s">
        <v>878</v>
      </c>
      <c r="V944" s="21">
        <v>46133</v>
      </c>
      <c r="W944" s="9" t="s">
        <v>91</v>
      </c>
      <c r="X944" s="9" t="s">
        <v>92</v>
      </c>
      <c r="Y944" s="22" t="s">
        <v>600</v>
      </c>
      <c r="Z944" s="62" t="s">
        <v>932</v>
      </c>
      <c r="AA944" s="22" t="s">
        <v>601</v>
      </c>
      <c r="AB944" s="15">
        <v>-1614.96</v>
      </c>
      <c r="AC944" s="16">
        <v>0.17</v>
      </c>
      <c r="AD944" s="15">
        <f>AB944*AC944</f>
        <v>-274.54320000000001</v>
      </c>
      <c r="AE944" s="17">
        <f>AB944+AD944</f>
        <v>-1889.5032000000001</v>
      </c>
      <c r="AF944" s="18" t="s">
        <v>45</v>
      </c>
      <c r="AG944" s="9">
        <v>2026</v>
      </c>
      <c r="AH944" s="20">
        <f t="shared" si="179"/>
        <v>20701.953692564086</v>
      </c>
    </row>
    <row r="945" spans="1:34" x14ac:dyDescent="0.2">
      <c r="A945" s="9" t="s">
        <v>72</v>
      </c>
      <c r="B945" s="10">
        <v>46136</v>
      </c>
      <c r="C945" s="10">
        <v>46136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10" t="s">
        <v>38</v>
      </c>
      <c r="L945" s="13" t="s">
        <v>51</v>
      </c>
      <c r="M945" s="9" t="s">
        <v>52</v>
      </c>
      <c r="N945" s="14" t="s">
        <v>138</v>
      </c>
      <c r="O945" s="14" t="s">
        <v>151</v>
      </c>
      <c r="P945" s="14" t="s">
        <v>151</v>
      </c>
      <c r="Q945" s="14" t="s">
        <v>933</v>
      </c>
      <c r="S945" s="9" t="s">
        <v>42</v>
      </c>
      <c r="T945" s="9" t="s">
        <v>43</v>
      </c>
      <c r="U945" s="9" t="s">
        <v>878</v>
      </c>
      <c r="V945" s="21" t="s">
        <v>934</v>
      </c>
      <c r="Y945" t="s">
        <v>153</v>
      </c>
      <c r="Z945"/>
      <c r="AB945" s="15">
        <v>-461.76</v>
      </c>
      <c r="AE945" s="17">
        <f t="shared" ref="AE945" si="196">AB945+AD945</f>
        <v>-461.76</v>
      </c>
      <c r="AF945" s="18" t="s">
        <v>45</v>
      </c>
      <c r="AG945" s="9">
        <v>2026</v>
      </c>
      <c r="AH945" s="20">
        <f t="shared" si="179"/>
        <v>20240.193692564088</v>
      </c>
    </row>
    <row r="946" spans="1:34" x14ac:dyDescent="0.2">
      <c r="A946" s="9" t="s">
        <v>86</v>
      </c>
      <c r="B946" s="10">
        <v>46139</v>
      </c>
      <c r="C946" s="10">
        <v>46139</v>
      </c>
      <c r="D946" s="11" t="s">
        <v>925</v>
      </c>
      <c r="E946" s="10" t="s">
        <v>101</v>
      </c>
      <c r="F946" s="11" t="s">
        <v>49</v>
      </c>
      <c r="G946" s="10" t="s">
        <v>50</v>
      </c>
      <c r="H946" s="12">
        <f t="shared" si="191"/>
        <v>4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524</v>
      </c>
      <c r="O946" s="14" t="s">
        <v>525</v>
      </c>
      <c r="P946" s="14" t="s">
        <v>526</v>
      </c>
      <c r="Q946" s="22" t="s">
        <v>527</v>
      </c>
      <c r="R946" t="s">
        <v>935</v>
      </c>
      <c r="S946" s="9" t="s">
        <v>42</v>
      </c>
      <c r="T946" s="9" t="s">
        <v>43</v>
      </c>
      <c r="U946" s="9" t="s">
        <v>878</v>
      </c>
      <c r="V946" s="21">
        <v>46122</v>
      </c>
      <c r="W946" s="9" t="s">
        <v>91</v>
      </c>
      <c r="X946" s="9" t="s">
        <v>92</v>
      </c>
      <c r="Y946" s="22" t="s">
        <v>529</v>
      </c>
      <c r="Z946" s="18"/>
      <c r="AB946" s="15">
        <v>-110.97</v>
      </c>
      <c r="AC946" s="16">
        <v>0.08</v>
      </c>
      <c r="AD946" s="15">
        <f t="shared" ref="AD946" si="197">AB946*AC946</f>
        <v>-8.8775999999999993</v>
      </c>
      <c r="AE946" s="17">
        <f>AB946+AD946</f>
        <v>-119.8476</v>
      </c>
      <c r="AF946" s="18" t="s">
        <v>45</v>
      </c>
      <c r="AG946" s="9">
        <v>2026</v>
      </c>
      <c r="AH946" s="20">
        <f t="shared" si="179"/>
        <v>20120.346092564087</v>
      </c>
    </row>
    <row r="947" spans="1:34" x14ac:dyDescent="0.2">
      <c r="A947" s="9" t="s">
        <v>86</v>
      </c>
      <c r="B947" s="21">
        <v>46146</v>
      </c>
      <c r="C947" s="21">
        <v>46146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126</v>
      </c>
      <c r="P947" s="14" t="s">
        <v>127</v>
      </c>
      <c r="Q947" s="14" t="s">
        <v>128</v>
      </c>
      <c r="R947" s="14" t="s">
        <v>937</v>
      </c>
      <c r="S947" s="9" t="s">
        <v>42</v>
      </c>
      <c r="T947" s="9" t="s">
        <v>43</v>
      </c>
      <c r="U947" s="9" t="s">
        <v>878</v>
      </c>
      <c r="V947" s="21"/>
      <c r="W947" s="9" t="s">
        <v>91</v>
      </c>
      <c r="X947" s="9" t="s">
        <v>92</v>
      </c>
      <c r="Y947" s="22" t="s">
        <v>693</v>
      </c>
      <c r="Z947" s="18"/>
      <c r="AB947" s="15">
        <v>-180</v>
      </c>
      <c r="AC947" s="16">
        <v>0</v>
      </c>
      <c r="AD947" s="15">
        <f>AB947*AC947</f>
        <v>0</v>
      </c>
      <c r="AE947" s="17">
        <f t="shared" ref="AE947:AE970" si="198">AB947+AD947</f>
        <v>-180</v>
      </c>
      <c r="AF947" s="18" t="s">
        <v>45</v>
      </c>
      <c r="AH947" s="20">
        <f t="shared" si="179"/>
        <v>19940.346092564087</v>
      </c>
    </row>
    <row r="948" spans="1:34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46144</v>
      </c>
      <c r="W948" s="9" t="s">
        <v>91</v>
      </c>
      <c r="X948" s="9" t="s">
        <v>92</v>
      </c>
      <c r="Y948" s="22" t="s">
        <v>509</v>
      </c>
      <c r="Z948" s="14"/>
      <c r="AB948" s="15">
        <v>-1190.29</v>
      </c>
      <c r="AC948" s="16">
        <v>0</v>
      </c>
      <c r="AD948" s="15">
        <v>0</v>
      </c>
      <c r="AE948" s="17">
        <f t="shared" si="198"/>
        <v>-1190.29</v>
      </c>
      <c r="AF948" s="18" t="s">
        <v>45</v>
      </c>
      <c r="AG948" s="9">
        <v>2026</v>
      </c>
      <c r="AH948" s="20">
        <f t="shared" si="179"/>
        <v>18750.056092564086</v>
      </c>
    </row>
    <row r="949" spans="1:34" x14ac:dyDescent="0.2">
      <c r="A949" s="9" t="s">
        <v>86</v>
      </c>
      <c r="B949" s="10">
        <v>46151</v>
      </c>
      <c r="C949" s="10">
        <v>46151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 t="shared" si="191"/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53</v>
      </c>
      <c r="O949" s="14" t="s">
        <v>506</v>
      </c>
      <c r="P949" s="14" t="s">
        <v>507</v>
      </c>
      <c r="Q949" s="13" t="s">
        <v>508</v>
      </c>
      <c r="R949" s="13" t="s">
        <v>508</v>
      </c>
      <c r="S949" s="9" t="s">
        <v>42</v>
      </c>
      <c r="T949" s="9" t="s">
        <v>43</v>
      </c>
      <c r="U949" s="9" t="s">
        <v>878</v>
      </c>
      <c r="V949" s="21">
        <v>46146</v>
      </c>
      <c r="W949" s="9" t="s">
        <v>91</v>
      </c>
      <c r="X949" s="9" t="s">
        <v>92</v>
      </c>
      <c r="Y949" s="22" t="s">
        <v>509</v>
      </c>
      <c r="Z949" s="14"/>
      <c r="AB949" s="15">
        <v>-2196.1</v>
      </c>
      <c r="AC949" s="16">
        <v>0</v>
      </c>
      <c r="AD949" s="15">
        <v>0</v>
      </c>
      <c r="AE949" s="17">
        <f t="shared" si="198"/>
        <v>-2196.1</v>
      </c>
      <c r="AF949" s="18" t="s">
        <v>45</v>
      </c>
      <c r="AG949" s="9">
        <v>2026</v>
      </c>
      <c r="AH949" s="20">
        <f t="shared" si="179"/>
        <v>16553.956092564087</v>
      </c>
    </row>
    <row r="950" spans="1:34" x14ac:dyDescent="0.2">
      <c r="A950" s="9" t="s">
        <v>72</v>
      </c>
      <c r="B950" s="60">
        <v>46153</v>
      </c>
      <c r="C950" s="21">
        <v>46153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268</v>
      </c>
      <c r="O950" s="13" t="s">
        <v>376</v>
      </c>
      <c r="P950" s="14" t="s">
        <v>83</v>
      </c>
      <c r="Q950" s="22" t="s">
        <v>914</v>
      </c>
      <c r="S950" s="9" t="s">
        <v>42</v>
      </c>
      <c r="T950" s="9" t="s">
        <v>43</v>
      </c>
      <c r="U950" s="9" t="s">
        <v>878</v>
      </c>
      <c r="V950" s="21">
        <v>46008</v>
      </c>
      <c r="Y950" s="22" t="s">
        <v>85</v>
      </c>
      <c r="Z950" s="18"/>
      <c r="AB950" s="15">
        <v>-265</v>
      </c>
      <c r="AE950" s="17">
        <f t="shared" si="198"/>
        <v>-265</v>
      </c>
      <c r="AF950" s="18" t="s">
        <v>45</v>
      </c>
      <c r="AG950" s="9">
        <v>2026</v>
      </c>
      <c r="AH950" s="20">
        <f t="shared" si="179"/>
        <v>16288.956092564087</v>
      </c>
    </row>
    <row r="951" spans="1:34" ht="12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ref="H951:H970" si="199">MONTH(D951)</f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-19</v>
      </c>
      <c r="AC951" s="16">
        <v>0.17</v>
      </c>
      <c r="AD951" s="15">
        <f>AB951*AC951</f>
        <v>-3.2300000000000004</v>
      </c>
      <c r="AE951" s="17">
        <f t="shared" si="198"/>
        <v>-22.23</v>
      </c>
      <c r="AF951" s="9" t="s">
        <v>45</v>
      </c>
      <c r="AH951" s="20">
        <f t="shared" si="179"/>
        <v>16266.726092564088</v>
      </c>
    </row>
    <row r="952" spans="1:34" ht="12" customHeight="1" x14ac:dyDescent="0.2">
      <c r="A952" s="18" t="s">
        <v>86</v>
      </c>
      <c r="B952" s="60">
        <v>46157</v>
      </c>
      <c r="C952" s="60">
        <v>46157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9" t="s">
        <v>38</v>
      </c>
      <c r="L952" s="13" t="s">
        <v>51</v>
      </c>
      <c r="M952" s="9" t="s">
        <v>52</v>
      </c>
      <c r="N952" s="14" t="s">
        <v>53</v>
      </c>
      <c r="O952" s="13" t="s">
        <v>105</v>
      </c>
      <c r="P952" s="13" t="s">
        <v>116</v>
      </c>
      <c r="Q952" s="13" t="s">
        <v>938</v>
      </c>
      <c r="R952" s="22"/>
      <c r="S952" s="9" t="s">
        <v>42</v>
      </c>
      <c r="T952" s="9" t="s">
        <v>43</v>
      </c>
      <c r="U952" s="18" t="s">
        <v>878</v>
      </c>
      <c r="V952" s="21">
        <v>46156</v>
      </c>
      <c r="W952" s="9" t="s">
        <v>91</v>
      </c>
      <c r="X952" s="9" t="s">
        <v>92</v>
      </c>
      <c r="Y952" s="22" t="s">
        <v>939</v>
      </c>
      <c r="Z952" s="14"/>
      <c r="AB952" s="15">
        <v>-17</v>
      </c>
      <c r="AE952" s="17">
        <f t="shared" si="198"/>
        <v>-17</v>
      </c>
      <c r="AF952" s="9" t="s">
        <v>45</v>
      </c>
      <c r="AH952" s="20">
        <f t="shared" si="179"/>
        <v>16249.726092564088</v>
      </c>
    </row>
    <row r="953" spans="1:34" x14ac:dyDescent="0.2">
      <c r="A953" s="9" t="s">
        <v>72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151</v>
      </c>
      <c r="P953" s="14" t="s">
        <v>151</v>
      </c>
      <c r="Q953" s="14" t="s">
        <v>940</v>
      </c>
      <c r="S953" s="9" t="s">
        <v>42</v>
      </c>
      <c r="T953" s="9" t="s">
        <v>43</v>
      </c>
      <c r="U953" s="9" t="s">
        <v>878</v>
      </c>
      <c r="V953" s="21">
        <v>46156</v>
      </c>
      <c r="Y953" t="s">
        <v>153</v>
      </c>
      <c r="Z953"/>
      <c r="AB953" s="15">
        <v>-461.32</v>
      </c>
      <c r="AE953" s="17">
        <f t="shared" si="198"/>
        <v>-461.32</v>
      </c>
      <c r="AF953" s="18" t="s">
        <v>45</v>
      </c>
      <c r="AG953" s="9">
        <v>2026</v>
      </c>
      <c r="AH953" s="20">
        <f t="shared" si="179"/>
        <v>15788.406092564088</v>
      </c>
    </row>
    <row r="954" spans="1:34" x14ac:dyDescent="0.2">
      <c r="A954" s="9" t="s">
        <v>137</v>
      </c>
      <c r="B954" s="60">
        <v>46160</v>
      </c>
      <c r="C954" s="60">
        <v>46160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941</v>
      </c>
      <c r="S954" s="9" t="s">
        <v>42</v>
      </c>
      <c r="T954" s="9" t="s">
        <v>43</v>
      </c>
      <c r="U954" s="9" t="s">
        <v>878</v>
      </c>
      <c r="V954" s="21">
        <v>46134</v>
      </c>
      <c r="Y954" t="s">
        <v>143</v>
      </c>
      <c r="Z954"/>
      <c r="AA954" s="22" t="s">
        <v>144</v>
      </c>
      <c r="AB954" s="15">
        <v>-1627.23</v>
      </c>
      <c r="AE954" s="17">
        <f t="shared" si="198"/>
        <v>-1627.23</v>
      </c>
      <c r="AF954" s="18" t="s">
        <v>45</v>
      </c>
      <c r="AG954" s="9">
        <v>2026</v>
      </c>
      <c r="AH954" s="20">
        <f t="shared" si="179"/>
        <v>14161.176092564088</v>
      </c>
    </row>
    <row r="955" spans="1:34" x14ac:dyDescent="0.2">
      <c r="A955" s="9" t="s">
        <v>137</v>
      </c>
      <c r="B955" s="60">
        <v>46162</v>
      </c>
      <c r="C955" s="60">
        <v>46162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10" t="s">
        <v>38</v>
      </c>
      <c r="L955" s="13" t="s">
        <v>51</v>
      </c>
      <c r="M955" s="9" t="s">
        <v>52</v>
      </c>
      <c r="N955" s="14" t="s">
        <v>138</v>
      </c>
      <c r="O955" s="14" t="s">
        <v>139</v>
      </c>
      <c r="P955" s="14" t="s">
        <v>140</v>
      </c>
      <c r="Q955" s="22" t="s">
        <v>141</v>
      </c>
      <c r="R955" s="22" t="s">
        <v>942</v>
      </c>
      <c r="S955" s="9" t="s">
        <v>42</v>
      </c>
      <c r="T955" s="9" t="s">
        <v>43</v>
      </c>
      <c r="U955" s="9" t="s">
        <v>878</v>
      </c>
      <c r="V955" s="21">
        <v>46162</v>
      </c>
      <c r="Y955" t="s">
        <v>143</v>
      </c>
      <c r="Z955"/>
      <c r="AA955" s="22" t="s">
        <v>144</v>
      </c>
      <c r="AB955" s="15">
        <v>-1627.01</v>
      </c>
      <c r="AE955" s="17">
        <f t="shared" si="198"/>
        <v>-1627.01</v>
      </c>
      <c r="AF955" s="18" t="s">
        <v>45</v>
      </c>
      <c r="AG955" s="9">
        <v>2026</v>
      </c>
      <c r="AH955" s="20">
        <f t="shared" si="179"/>
        <v>12534.166092564088</v>
      </c>
    </row>
    <row r="956" spans="1:34" x14ac:dyDescent="0.2">
      <c r="A956" s="9" t="s">
        <v>72</v>
      </c>
      <c r="B956" s="60">
        <v>46163</v>
      </c>
      <c r="C956" s="60">
        <v>46163</v>
      </c>
      <c r="D956" s="11" t="s">
        <v>936</v>
      </c>
      <c r="E956" s="10" t="s">
        <v>101</v>
      </c>
      <c r="F956" s="11" t="s">
        <v>49</v>
      </c>
      <c r="G956" s="10" t="s">
        <v>50</v>
      </c>
      <c r="H956" s="12">
        <f t="shared" si="199"/>
        <v>5</v>
      </c>
      <c r="I956" s="9">
        <v>2026</v>
      </c>
      <c r="J956" s="9">
        <v>2026</v>
      </c>
      <c r="K956" s="9" t="s">
        <v>38</v>
      </c>
      <c r="L956" s="13" t="s">
        <v>51</v>
      </c>
      <c r="M956" s="18" t="s">
        <v>52</v>
      </c>
      <c r="N956" s="14" t="s">
        <v>74</v>
      </c>
      <c r="O956" s="14" t="s">
        <v>75</v>
      </c>
      <c r="P956" s="14" t="s">
        <v>122</v>
      </c>
      <c r="Q956" s="14" t="s">
        <v>943</v>
      </c>
      <c r="S956" s="9" t="s">
        <v>42</v>
      </c>
      <c r="T956" s="18" t="s">
        <v>66</v>
      </c>
      <c r="U956" s="9" t="s">
        <v>878</v>
      </c>
      <c r="V956" s="21"/>
      <c r="Y956" s="22" t="s">
        <v>85</v>
      </c>
      <c r="Z956" s="18"/>
      <c r="AB956" s="15">
        <v>281.2</v>
      </c>
      <c r="AE956" s="17">
        <f t="shared" si="198"/>
        <v>281.2</v>
      </c>
      <c r="AF956" s="18" t="s">
        <v>45</v>
      </c>
      <c r="AG956" s="9">
        <v>2026</v>
      </c>
      <c r="AH956" s="20">
        <f t="shared" si="179"/>
        <v>12815.366092564089</v>
      </c>
    </row>
    <row r="957" spans="1:34" x14ac:dyDescent="0.2">
      <c r="A957" s="9" t="s">
        <v>86</v>
      </c>
      <c r="B957" s="21">
        <v>46174</v>
      </c>
      <c r="C957" s="21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53</v>
      </c>
      <c r="O957" s="14" t="s">
        <v>126</v>
      </c>
      <c r="P957" s="14" t="s">
        <v>127</v>
      </c>
      <c r="Q957" s="14" t="s">
        <v>128</v>
      </c>
      <c r="R957" s="14" t="s">
        <v>945</v>
      </c>
      <c r="S957" s="9" t="s">
        <v>42</v>
      </c>
      <c r="T957" s="9" t="s">
        <v>43</v>
      </c>
      <c r="U957" s="9" t="s">
        <v>878</v>
      </c>
      <c r="V957" s="21"/>
      <c r="W957" s="9" t="s">
        <v>91</v>
      </c>
      <c r="X957" s="9" t="s">
        <v>92</v>
      </c>
      <c r="Y957" s="22" t="s">
        <v>693</v>
      </c>
      <c r="Z957" s="18"/>
      <c r="AB957" s="15">
        <v>-180</v>
      </c>
      <c r="AC957" s="16">
        <v>0</v>
      </c>
      <c r="AD957" s="15">
        <f>AB957*AC957</f>
        <v>0</v>
      </c>
      <c r="AE957" s="17">
        <f t="shared" si="198"/>
        <v>-180</v>
      </c>
      <c r="AF957" s="18" t="s">
        <v>45</v>
      </c>
      <c r="AH957" s="20">
        <f t="shared" si="179"/>
        <v>12635.366092564089</v>
      </c>
    </row>
    <row r="958" spans="1:34" x14ac:dyDescent="0.2">
      <c r="A958" s="9" t="s">
        <v>86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9" t="s">
        <v>38</v>
      </c>
      <c r="L958" s="13" t="s">
        <v>51</v>
      </c>
      <c r="M958" s="9" t="s">
        <v>52</v>
      </c>
      <c r="N958" s="14" t="s">
        <v>524</v>
      </c>
      <c r="O958" s="14" t="s">
        <v>525</v>
      </c>
      <c r="P958" s="14" t="s">
        <v>526</v>
      </c>
      <c r="Q958" s="22" t="s">
        <v>527</v>
      </c>
      <c r="R958" t="s">
        <v>946</v>
      </c>
      <c r="S958" s="9" t="s">
        <v>42</v>
      </c>
      <c r="T958" s="9" t="s">
        <v>43</v>
      </c>
      <c r="U958" s="9" t="s">
        <v>878</v>
      </c>
      <c r="V958" s="21">
        <v>46157</v>
      </c>
      <c r="W958" s="9" t="s">
        <v>91</v>
      </c>
      <c r="X958" s="9" t="s">
        <v>92</v>
      </c>
      <c r="Y958" s="22" t="s">
        <v>529</v>
      </c>
      <c r="Z958" s="18"/>
      <c r="AB958" s="15">
        <v>-105.47</v>
      </c>
      <c r="AC958" s="16">
        <v>0.08</v>
      </c>
      <c r="AD958" s="15">
        <f t="shared" ref="AD958" si="200">AB958*AC958</f>
        <v>-8.4375999999999998</v>
      </c>
      <c r="AE958" s="17">
        <f>AB958+AD958</f>
        <v>-113.9076</v>
      </c>
      <c r="AF958" s="18" t="s">
        <v>45</v>
      </c>
      <c r="AG958" s="9">
        <v>2026</v>
      </c>
      <c r="AH958" s="20">
        <f t="shared" si="179"/>
        <v>12521.458492564088</v>
      </c>
    </row>
    <row r="959" spans="1:34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S959" s="9" t="s">
        <v>42</v>
      </c>
      <c r="T959" s="18" t="s">
        <v>43</v>
      </c>
      <c r="U959" s="18"/>
      <c r="V959" s="21">
        <v>46174</v>
      </c>
      <c r="Y959" s="22" t="s">
        <v>67</v>
      </c>
      <c r="Z959"/>
      <c r="AB959" s="15">
        <v>-6000</v>
      </c>
      <c r="AE959" s="17">
        <f t="shared" ref="AE959:AE962" si="201">AB959+AD959</f>
        <v>-6000</v>
      </c>
      <c r="AF959" s="18" t="s">
        <v>45</v>
      </c>
      <c r="AH959" s="20">
        <f t="shared" si="179"/>
        <v>6521.4584925640884</v>
      </c>
    </row>
    <row r="960" spans="1:34" s="1" customFormat="1" x14ac:dyDescent="0.2">
      <c r="A960" s="9" t="s">
        <v>263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21" t="s">
        <v>58</v>
      </c>
      <c r="L960" s="14" t="s">
        <v>265</v>
      </c>
      <c r="M960" s="9" t="s">
        <v>52</v>
      </c>
      <c r="N960" s="14" t="s">
        <v>266</v>
      </c>
      <c r="O960" s="14" t="s">
        <v>266</v>
      </c>
      <c r="P960" s="14" t="s">
        <v>266</v>
      </c>
      <c r="Q960" s="22" t="s">
        <v>267</v>
      </c>
      <c r="R960"/>
      <c r="S960" s="9" t="s">
        <v>42</v>
      </c>
      <c r="T960" s="18" t="s">
        <v>43</v>
      </c>
      <c r="U960" s="18"/>
      <c r="V960" s="21">
        <v>46174</v>
      </c>
      <c r="W960" s="9"/>
      <c r="X960" s="9"/>
      <c r="Y960" s="22" t="s">
        <v>67</v>
      </c>
      <c r="Z960"/>
      <c r="AA960"/>
      <c r="AB960" s="15">
        <v>6000</v>
      </c>
      <c r="AC960" s="16"/>
      <c r="AD960" s="15"/>
      <c r="AE960" s="17">
        <f t="shared" si="201"/>
        <v>6000</v>
      </c>
      <c r="AF960" s="18" t="s">
        <v>45</v>
      </c>
      <c r="AG960" s="9"/>
      <c r="AH960" s="20">
        <f t="shared" si="179"/>
        <v>12521.458492564088</v>
      </c>
    </row>
    <row r="961" spans="1:34" x14ac:dyDescent="0.2">
      <c r="A961" s="9" t="s">
        <v>72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9" t="s">
        <v>58</v>
      </c>
      <c r="L961" s="13" t="s">
        <v>51</v>
      </c>
      <c r="M961" s="9" t="s">
        <v>52</v>
      </c>
      <c r="N961" s="14" t="s">
        <v>268</v>
      </c>
      <c r="O961" s="14" t="s">
        <v>269</v>
      </c>
      <c r="P961" s="14" t="s">
        <v>270</v>
      </c>
      <c r="Q961" s="14" t="s">
        <v>947</v>
      </c>
      <c r="S961" s="9" t="s">
        <v>42</v>
      </c>
      <c r="T961" s="18" t="s">
        <v>43</v>
      </c>
      <c r="U961" s="9" t="s">
        <v>878</v>
      </c>
      <c r="V961" s="21">
        <v>46174</v>
      </c>
      <c r="Y961" s="22" t="s">
        <v>85</v>
      </c>
      <c r="Z961" s="18"/>
      <c r="AB961" s="36">
        <v>-900</v>
      </c>
      <c r="AE961" s="17">
        <f t="shared" si="201"/>
        <v>-900</v>
      </c>
      <c r="AF961" s="18" t="s">
        <v>45</v>
      </c>
      <c r="AG961" s="9">
        <v>2026</v>
      </c>
      <c r="AH961" s="20">
        <f t="shared" si="179"/>
        <v>11621.458492564088</v>
      </c>
    </row>
    <row r="962" spans="1:34" s="1" customFormat="1" x14ac:dyDescent="0.2">
      <c r="A962" s="18" t="s">
        <v>263</v>
      </c>
      <c r="B962" s="10">
        <v>46174</v>
      </c>
      <c r="C962" s="10">
        <v>46174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18" t="s">
        <v>58</v>
      </c>
      <c r="L962" s="14" t="s">
        <v>265</v>
      </c>
      <c r="M962" s="9" t="s">
        <v>52</v>
      </c>
      <c r="N962" s="14" t="s">
        <v>266</v>
      </c>
      <c r="O962" s="14" t="s">
        <v>266</v>
      </c>
      <c r="P962" s="14" t="s">
        <v>266</v>
      </c>
      <c r="Q962" s="22" t="s">
        <v>948</v>
      </c>
      <c r="R962"/>
      <c r="S962" s="9" t="s">
        <v>42</v>
      </c>
      <c r="T962" s="18" t="s">
        <v>43</v>
      </c>
      <c r="U962" s="9" t="s">
        <v>878</v>
      </c>
      <c r="V962" s="21">
        <v>46174</v>
      </c>
      <c r="W962" s="9"/>
      <c r="X962" s="9"/>
      <c r="Y962" s="22" t="s">
        <v>67</v>
      </c>
      <c r="Z962"/>
      <c r="AA962"/>
      <c r="AB962" s="15">
        <v>-5100</v>
      </c>
      <c r="AC962" s="16"/>
      <c r="AD962" s="15"/>
      <c r="AE962" s="17">
        <f t="shared" si="201"/>
        <v>-5100</v>
      </c>
      <c r="AF962" s="18" t="s">
        <v>45</v>
      </c>
      <c r="AG962" s="9">
        <v>2026</v>
      </c>
      <c r="AH962" s="20">
        <f t="shared" si="179"/>
        <v>6521.4584925640884</v>
      </c>
    </row>
    <row r="963" spans="1:34" x14ac:dyDescent="0.2">
      <c r="A963" s="18" t="s">
        <v>72</v>
      </c>
      <c r="B963" s="10">
        <v>46176</v>
      </c>
      <c r="C963" s="10">
        <v>46176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81</v>
      </c>
      <c r="O963" s="14" t="s">
        <v>715</v>
      </c>
      <c r="P963" s="14" t="s">
        <v>821</v>
      </c>
      <c r="Q963" s="14" t="s">
        <v>497</v>
      </c>
      <c r="S963" s="9" t="s">
        <v>42</v>
      </c>
      <c r="T963" s="18" t="s">
        <v>43</v>
      </c>
      <c r="U963" s="9" t="s">
        <v>878</v>
      </c>
      <c r="V963" s="21">
        <v>46169</v>
      </c>
      <c r="W963" s="18"/>
      <c r="X963" s="18"/>
      <c r="Y963" s="22" t="s">
        <v>85</v>
      </c>
      <c r="Z963" s="18"/>
      <c r="AB963" s="15">
        <v>-30</v>
      </c>
      <c r="AE963" s="17">
        <f t="shared" si="198"/>
        <v>-30</v>
      </c>
      <c r="AF963" s="18" t="s">
        <v>45</v>
      </c>
      <c r="AG963" s="9">
        <v>2026</v>
      </c>
      <c r="AH963" s="20">
        <f t="shared" si="179"/>
        <v>6491.4584925640884</v>
      </c>
    </row>
    <row r="964" spans="1:34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268</v>
      </c>
      <c r="O964" s="14" t="s">
        <v>612</v>
      </c>
      <c r="P964" s="14" t="s">
        <v>83</v>
      </c>
      <c r="Q964" s="22" t="s">
        <v>920</v>
      </c>
      <c r="S964" s="9" t="s">
        <v>42</v>
      </c>
      <c r="T964" s="9" t="s">
        <v>43</v>
      </c>
      <c r="U964" s="9" t="s">
        <v>878</v>
      </c>
      <c r="V964" s="21">
        <v>46176</v>
      </c>
      <c r="Y964" s="22" t="s">
        <v>85</v>
      </c>
      <c r="Z964" s="18"/>
      <c r="AB964" s="15">
        <v>-1250</v>
      </c>
      <c r="AE964" s="17">
        <f t="shared" si="198"/>
        <v>-1250</v>
      </c>
      <c r="AF964" s="18" t="s">
        <v>45</v>
      </c>
      <c r="AG964" s="9">
        <v>2026</v>
      </c>
      <c r="AH964" s="20">
        <f t="shared" si="179"/>
        <v>5241.4584925640884</v>
      </c>
    </row>
    <row r="965" spans="1:34" x14ac:dyDescent="0.2">
      <c r="A965" s="9" t="s">
        <v>72</v>
      </c>
      <c r="B965" s="21">
        <v>46177</v>
      </c>
      <c r="C965" s="21">
        <v>46177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81</v>
      </c>
      <c r="O965" s="13" t="s">
        <v>82</v>
      </c>
      <c r="P965" s="14" t="s">
        <v>83</v>
      </c>
      <c r="Q965" s="22" t="s">
        <v>949</v>
      </c>
      <c r="S965" s="9" t="s">
        <v>42</v>
      </c>
      <c r="T965" s="9" t="s">
        <v>43</v>
      </c>
      <c r="U965" s="18" t="s">
        <v>878</v>
      </c>
      <c r="V965" s="21">
        <v>46176</v>
      </c>
      <c r="Y965" s="22" t="s">
        <v>85</v>
      </c>
      <c r="Z965" s="18"/>
      <c r="AB965" s="15">
        <v>-53.9</v>
      </c>
      <c r="AE965" s="17">
        <f t="shared" si="198"/>
        <v>-53.9</v>
      </c>
      <c r="AF965" s="18" t="s">
        <v>45</v>
      </c>
      <c r="AG965" s="9">
        <v>2026</v>
      </c>
      <c r="AH965" s="20">
        <f t="shared" si="179"/>
        <v>5187.5584925640887</v>
      </c>
    </row>
    <row r="966" spans="1:34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4" t="s">
        <v>612</v>
      </c>
      <c r="P966" s="14" t="s">
        <v>83</v>
      </c>
      <c r="Q966" s="22" t="s">
        <v>950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4622.8</v>
      </c>
      <c r="AE966" s="17">
        <f t="shared" si="198"/>
        <v>4622.8</v>
      </c>
      <c r="AF966" s="18" t="s">
        <v>45</v>
      </c>
      <c r="AG966" s="9">
        <v>2025</v>
      </c>
      <c r="AH966" s="20">
        <f t="shared" si="179"/>
        <v>9810.3584925640898</v>
      </c>
    </row>
    <row r="967" spans="1:34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268</v>
      </c>
      <c r="O967" s="13" t="s">
        <v>376</v>
      </c>
      <c r="P967" s="14" t="s">
        <v>83</v>
      </c>
      <c r="Q967" s="22" t="s">
        <v>951</v>
      </c>
      <c r="S967" s="9" t="s">
        <v>42</v>
      </c>
      <c r="T967" s="9" t="s">
        <v>43</v>
      </c>
      <c r="U967" s="9" t="s">
        <v>878</v>
      </c>
      <c r="V967" s="21">
        <v>46176</v>
      </c>
      <c r="Y967" s="22" t="s">
        <v>85</v>
      </c>
      <c r="Z967" s="18"/>
      <c r="AB967" s="15">
        <v>1060</v>
      </c>
      <c r="AE967" s="17">
        <f t="shared" si="198"/>
        <v>1060</v>
      </c>
      <c r="AF967" s="18" t="s">
        <v>45</v>
      </c>
      <c r="AG967" s="9">
        <v>2025</v>
      </c>
      <c r="AH967" s="20">
        <f t="shared" si="179"/>
        <v>10870.35849256409</v>
      </c>
    </row>
    <row r="968" spans="1:34" x14ac:dyDescent="0.2">
      <c r="A968" s="9" t="s">
        <v>72</v>
      </c>
      <c r="B968" s="21">
        <v>46185</v>
      </c>
      <c r="C968" s="21">
        <v>46185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9" t="s">
        <v>38</v>
      </c>
      <c r="L968" s="13" t="s">
        <v>51</v>
      </c>
      <c r="M968" s="9" t="s">
        <v>52</v>
      </c>
      <c r="N968" s="14" t="s">
        <v>81</v>
      </c>
      <c r="O968" s="13" t="s">
        <v>82</v>
      </c>
      <c r="P968" s="14" t="s">
        <v>83</v>
      </c>
      <c r="Q968" s="22" t="s">
        <v>949</v>
      </c>
      <c r="S968" s="9" t="s">
        <v>42</v>
      </c>
      <c r="T968" s="9" t="s">
        <v>43</v>
      </c>
      <c r="U968" s="18" t="s">
        <v>878</v>
      </c>
      <c r="V968" s="21">
        <v>46176</v>
      </c>
      <c r="Y968" s="22" t="s">
        <v>85</v>
      </c>
      <c r="Z968" s="18"/>
      <c r="AB968" s="15">
        <v>-53.9</v>
      </c>
      <c r="AE968" s="17">
        <f t="shared" si="198"/>
        <v>-53.9</v>
      </c>
      <c r="AF968" s="18" t="s">
        <v>45</v>
      </c>
      <c r="AG968" s="9">
        <v>2026</v>
      </c>
      <c r="AH968" s="20">
        <f t="shared" si="179"/>
        <v>10816.45849256409</v>
      </c>
    </row>
    <row r="969" spans="1:34" x14ac:dyDescent="0.2">
      <c r="A969" s="9" t="s">
        <v>72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151</v>
      </c>
      <c r="P969" s="14" t="s">
        <v>151</v>
      </c>
      <c r="Q969" s="14" t="s">
        <v>952</v>
      </c>
      <c r="S969" s="9" t="s">
        <v>42</v>
      </c>
      <c r="T969" s="9" t="s">
        <v>43</v>
      </c>
      <c r="U969" s="9" t="s">
        <v>878</v>
      </c>
      <c r="V969" s="21">
        <v>46185</v>
      </c>
      <c r="Y969" t="s">
        <v>153</v>
      </c>
      <c r="Z969"/>
      <c r="AB969" s="15">
        <v>-461.32</v>
      </c>
      <c r="AE969" s="17">
        <f t="shared" si="198"/>
        <v>-461.32</v>
      </c>
      <c r="AF969" s="18" t="s">
        <v>45</v>
      </c>
      <c r="AG969" s="9">
        <v>2026</v>
      </c>
      <c r="AH969" s="20">
        <f t="shared" si="179"/>
        <v>10355.13849256409</v>
      </c>
    </row>
    <row r="970" spans="1:34" x14ac:dyDescent="0.2">
      <c r="A970" s="9" t="s">
        <v>137</v>
      </c>
      <c r="B970" s="21">
        <v>46195</v>
      </c>
      <c r="C970" s="21">
        <v>46195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 t="shared" si="199"/>
        <v>6</v>
      </c>
      <c r="I970" s="9">
        <v>2026</v>
      </c>
      <c r="J970" s="9">
        <v>2026</v>
      </c>
      <c r="K970" s="10" t="s">
        <v>38</v>
      </c>
      <c r="L970" s="13" t="s">
        <v>51</v>
      </c>
      <c r="M970" s="9" t="s">
        <v>52</v>
      </c>
      <c r="N970" s="14" t="s">
        <v>138</v>
      </c>
      <c r="O970" s="14" t="s">
        <v>139</v>
      </c>
      <c r="P970" s="14" t="s">
        <v>140</v>
      </c>
      <c r="Q970" s="22" t="s">
        <v>141</v>
      </c>
      <c r="R970" s="22" t="s">
        <v>953</v>
      </c>
      <c r="S970" s="9" t="s">
        <v>42</v>
      </c>
      <c r="T970" s="9" t="s">
        <v>43</v>
      </c>
      <c r="U970" s="9" t="s">
        <v>878</v>
      </c>
      <c r="V970" s="21">
        <v>46195</v>
      </c>
      <c r="Y970" t="s">
        <v>143</v>
      </c>
      <c r="Z970"/>
      <c r="AA970" s="22" t="s">
        <v>144</v>
      </c>
      <c r="AB970" s="15">
        <v>-1663.85</v>
      </c>
      <c r="AE970" s="17">
        <f t="shared" si="198"/>
        <v>-1663.85</v>
      </c>
      <c r="AF970" s="18" t="s">
        <v>45</v>
      </c>
      <c r="AG970" s="9">
        <v>2026</v>
      </c>
      <c r="AH970" s="20">
        <f t="shared" si="179"/>
        <v>8691.2884925640901</v>
      </c>
    </row>
    <row r="971" spans="1:34" x14ac:dyDescent="0.2">
      <c r="A971" s="9" t="s">
        <v>86</v>
      </c>
      <c r="B971" s="10">
        <v>46199</v>
      </c>
      <c r="C971" s="10">
        <v>46199</v>
      </c>
      <c r="D971" s="11" t="s">
        <v>944</v>
      </c>
      <c r="E971" s="10" t="s">
        <v>101</v>
      </c>
      <c r="F971" s="11" t="s">
        <v>49</v>
      </c>
      <c r="G971" s="10" t="s">
        <v>50</v>
      </c>
      <c r="H971" s="12">
        <f>MONTH(D971)</f>
        <v>6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524</v>
      </c>
      <c r="O971" s="14" t="s">
        <v>525</v>
      </c>
      <c r="P971" s="14" t="s">
        <v>526</v>
      </c>
      <c r="Q971" s="22" t="s">
        <v>527</v>
      </c>
      <c r="R971" t="s">
        <v>954</v>
      </c>
      <c r="S971" s="9" t="s">
        <v>42</v>
      </c>
      <c r="T971" s="9" t="s">
        <v>43</v>
      </c>
      <c r="U971" s="9" t="s">
        <v>878</v>
      </c>
      <c r="V971" s="21">
        <v>46183</v>
      </c>
      <c r="W971" s="9" t="s">
        <v>91</v>
      </c>
      <c r="X971" s="9" t="s">
        <v>92</v>
      </c>
      <c r="Y971" s="22" t="s">
        <v>529</v>
      </c>
      <c r="Z971" s="18"/>
      <c r="AB971" s="15">
        <v>-112.2</v>
      </c>
      <c r="AC971" s="16">
        <v>0.08</v>
      </c>
      <c r="AD971" s="15">
        <f t="shared" ref="AD971" si="202">AB971*AC971</f>
        <v>-8.9760000000000009</v>
      </c>
      <c r="AE971" s="17">
        <f>AB971+AD971</f>
        <v>-121.176</v>
      </c>
      <c r="AF971" s="18" t="s">
        <v>45</v>
      </c>
      <c r="AG971" s="9">
        <v>2026</v>
      </c>
      <c r="AH971" s="20">
        <f t="shared" si="179"/>
        <v>8570.1124925640906</v>
      </c>
    </row>
    <row r="972" spans="1:34" x14ac:dyDescent="0.2">
      <c r="A972" s="9" t="s">
        <v>86</v>
      </c>
      <c r="B972" s="21">
        <v>46204</v>
      </c>
      <c r="C972" s="21">
        <v>46204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ref="H972:H996" si="203">MONTH(D972)</f>
        <v>7</v>
      </c>
      <c r="I972" s="9">
        <v>2026</v>
      </c>
      <c r="J972" s="9">
        <v>2026</v>
      </c>
      <c r="K972" s="9" t="s">
        <v>38</v>
      </c>
      <c r="L972" s="13" t="s">
        <v>51</v>
      </c>
      <c r="M972" s="9" t="s">
        <v>52</v>
      </c>
      <c r="N972" s="14" t="s">
        <v>53</v>
      </c>
      <c r="O972" s="14" t="s">
        <v>126</v>
      </c>
      <c r="P972" s="14" t="s">
        <v>127</v>
      </c>
      <c r="Q972" s="14" t="s">
        <v>128</v>
      </c>
      <c r="R972" s="14" t="s">
        <v>956</v>
      </c>
      <c r="S972" s="9" t="s">
        <v>42</v>
      </c>
      <c r="T972" s="9" t="s">
        <v>43</v>
      </c>
      <c r="U972" s="9" t="s">
        <v>878</v>
      </c>
      <c r="V972" s="21"/>
      <c r="W972" s="9" t="s">
        <v>91</v>
      </c>
      <c r="X972" s="9" t="s">
        <v>92</v>
      </c>
      <c r="Y972" s="22" t="s">
        <v>693</v>
      </c>
      <c r="Z972" s="18"/>
      <c r="AB972" s="15">
        <v>-180</v>
      </c>
      <c r="AC972" s="16">
        <v>0</v>
      </c>
      <c r="AD972" s="15">
        <f>AB972*AC972</f>
        <v>0</v>
      </c>
      <c r="AE972" s="17">
        <f t="shared" ref="AE972:AE975" si="204">AB972+AD972</f>
        <v>-180</v>
      </c>
      <c r="AF972" s="18" t="s">
        <v>45</v>
      </c>
      <c r="AH972" s="20">
        <f t="shared" si="179"/>
        <v>8390.1124925640906</v>
      </c>
    </row>
    <row r="973" spans="1:34" x14ac:dyDescent="0.2">
      <c r="A973" s="18" t="s">
        <v>170</v>
      </c>
      <c r="B973" s="21">
        <v>46209</v>
      </c>
      <c r="C973" s="21">
        <v>46209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39</v>
      </c>
      <c r="M973" s="9" t="s">
        <v>40</v>
      </c>
      <c r="N973" s="14" t="s">
        <v>172</v>
      </c>
      <c r="O973" s="14" t="s">
        <v>173</v>
      </c>
      <c r="P973" s="14" t="s">
        <v>174</v>
      </c>
      <c r="Q973" s="14" t="s">
        <v>957</v>
      </c>
      <c r="R973" s="22"/>
      <c r="S973" s="9" t="s">
        <v>42</v>
      </c>
      <c r="T973" s="9" t="s">
        <v>43</v>
      </c>
      <c r="U973" s="18" t="s">
        <v>878</v>
      </c>
      <c r="V973" s="10">
        <v>46204</v>
      </c>
      <c r="W973" s="10" t="s">
        <v>91</v>
      </c>
      <c r="X973" s="18" t="s">
        <v>92</v>
      </c>
      <c r="Y973" s="14" t="s">
        <v>288</v>
      </c>
      <c r="Z973" s="14" t="s">
        <v>958</v>
      </c>
      <c r="AB973" s="15">
        <v>7500</v>
      </c>
      <c r="AC973" s="16">
        <v>0.17</v>
      </c>
      <c r="AD973" s="15">
        <f>AB973*AC973</f>
        <v>1275</v>
      </c>
      <c r="AE973" s="17">
        <f t="shared" si="204"/>
        <v>8775</v>
      </c>
      <c r="AF973" s="18" t="s">
        <v>45</v>
      </c>
      <c r="AG973" s="9">
        <v>2026</v>
      </c>
      <c r="AH973" s="20">
        <f t="shared" si="179"/>
        <v>17165.112492564091</v>
      </c>
    </row>
    <row r="974" spans="1:34" x14ac:dyDescent="0.2">
      <c r="A974" s="9" t="s">
        <v>86</v>
      </c>
      <c r="B974" s="21">
        <v>46211</v>
      </c>
      <c r="C974" s="21">
        <v>46211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9" t="s">
        <v>38</v>
      </c>
      <c r="L974" s="13" t="s">
        <v>51</v>
      </c>
      <c r="M974" s="9" t="s">
        <v>52</v>
      </c>
      <c r="N974" s="14" t="s">
        <v>53</v>
      </c>
      <c r="O974" s="14" t="s">
        <v>87</v>
      </c>
      <c r="P974" s="14" t="s">
        <v>88</v>
      </c>
      <c r="Q974" s="14" t="s">
        <v>89</v>
      </c>
      <c r="R974" s="14" t="s">
        <v>959</v>
      </c>
      <c r="S974" s="9" t="s">
        <v>42</v>
      </c>
      <c r="T974" s="9" t="s">
        <v>43</v>
      </c>
      <c r="U974" s="18" t="s">
        <v>878</v>
      </c>
      <c r="V974" s="21">
        <v>46209</v>
      </c>
      <c r="Y974" s="22" t="s">
        <v>93</v>
      </c>
      <c r="Z974" s="14"/>
      <c r="AB974" s="15">
        <v>-70</v>
      </c>
      <c r="AC974" s="16">
        <v>0</v>
      </c>
      <c r="AD974" s="15">
        <v>0</v>
      </c>
      <c r="AE974" s="17">
        <f t="shared" si="204"/>
        <v>-70</v>
      </c>
      <c r="AF974" s="18" t="s">
        <v>45</v>
      </c>
      <c r="AG974" s="9">
        <v>2026</v>
      </c>
      <c r="AH974" s="20">
        <f t="shared" si="179"/>
        <v>17095.112492564091</v>
      </c>
    </row>
    <row r="975" spans="1:34" x14ac:dyDescent="0.2">
      <c r="A975" s="9" t="s">
        <v>72</v>
      </c>
      <c r="B975" s="21">
        <v>46216</v>
      </c>
      <c r="C975" s="21">
        <v>46216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10" t="s">
        <v>38</v>
      </c>
      <c r="L975" s="13" t="s">
        <v>51</v>
      </c>
      <c r="M975" s="9" t="s">
        <v>52</v>
      </c>
      <c r="N975" s="14" t="s">
        <v>138</v>
      </c>
      <c r="O975" s="14" t="s">
        <v>151</v>
      </c>
      <c r="P975" s="14" t="s">
        <v>151</v>
      </c>
      <c r="Q975" s="14" t="s">
        <v>960</v>
      </c>
      <c r="S975" s="9" t="s">
        <v>42</v>
      </c>
      <c r="T975" s="9" t="s">
        <v>43</v>
      </c>
      <c r="U975" s="9" t="s">
        <v>878</v>
      </c>
      <c r="V975" s="21">
        <v>46213</v>
      </c>
      <c r="Y975" t="s">
        <v>153</v>
      </c>
      <c r="Z975"/>
      <c r="AB975" s="15">
        <v>-496.54</v>
      </c>
      <c r="AE975" s="17">
        <f t="shared" si="204"/>
        <v>-496.54</v>
      </c>
      <c r="AF975" s="18" t="s">
        <v>45</v>
      </c>
      <c r="AG975" s="9">
        <v>2026</v>
      </c>
      <c r="AH975" s="20">
        <f t="shared" ref="AH975:AH996" si="205">AH974+AE975</f>
        <v>16598.57249256409</v>
      </c>
    </row>
    <row r="976" spans="1:34" x14ac:dyDescent="0.2">
      <c r="A976" s="18" t="s">
        <v>170</v>
      </c>
      <c r="B976" s="21">
        <v>46219</v>
      </c>
      <c r="C976" s="21">
        <v>46219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957</v>
      </c>
      <c r="R976" s="22"/>
      <c r="S976" s="9" t="s">
        <v>42</v>
      </c>
      <c r="T976" s="9" t="s">
        <v>43</v>
      </c>
      <c r="U976" s="18" t="s">
        <v>878</v>
      </c>
      <c r="V976" s="21">
        <v>46204</v>
      </c>
      <c r="W976" s="10" t="s">
        <v>91</v>
      </c>
      <c r="X976" s="18" t="s">
        <v>92</v>
      </c>
      <c r="Y976" s="14" t="s">
        <v>283</v>
      </c>
      <c r="Z976" s="14" t="s">
        <v>961</v>
      </c>
      <c r="AB976" s="15">
        <v>15000</v>
      </c>
      <c r="AC976" s="16">
        <v>0.17</v>
      </c>
      <c r="AD976" s="15">
        <f>AB976*AC976</f>
        <v>2550</v>
      </c>
      <c r="AE976" s="17">
        <f>AB976+AD976</f>
        <v>17550</v>
      </c>
      <c r="AF976" s="18" t="s">
        <v>45</v>
      </c>
      <c r="AG976" s="9">
        <v>2026</v>
      </c>
      <c r="AH976" s="20">
        <f t="shared" si="205"/>
        <v>34148.57249256409</v>
      </c>
    </row>
    <row r="977" spans="1:34" x14ac:dyDescent="0.2">
      <c r="A977" s="18" t="s">
        <v>170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39</v>
      </c>
      <c r="M977" s="9" t="s">
        <v>40</v>
      </c>
      <c r="N977" s="14" t="s">
        <v>172</v>
      </c>
      <c r="O977" s="14" t="s">
        <v>173</v>
      </c>
      <c r="P977" s="14" t="s">
        <v>174</v>
      </c>
      <c r="Q977" s="14" t="s">
        <v>903</v>
      </c>
      <c r="R977" s="22"/>
      <c r="S977" s="9" t="s">
        <v>42</v>
      </c>
      <c r="T977" s="9" t="s">
        <v>43</v>
      </c>
      <c r="U977" s="9" t="s">
        <v>878</v>
      </c>
      <c r="V977" s="10">
        <v>46220</v>
      </c>
      <c r="W977" s="10" t="s">
        <v>91</v>
      </c>
      <c r="X977" s="18" t="s">
        <v>92</v>
      </c>
      <c r="Y977" s="14" t="s">
        <v>908</v>
      </c>
      <c r="Z977" s="14" t="s">
        <v>962</v>
      </c>
      <c r="AB977" s="15">
        <v>1025.6400000000001</v>
      </c>
      <c r="AC977" s="16">
        <v>0.17</v>
      </c>
      <c r="AD977" s="15">
        <f>AB977*AC977</f>
        <v>174.35880000000003</v>
      </c>
      <c r="AE977" s="17">
        <f>AB977+AD977</f>
        <v>1199.9988000000001</v>
      </c>
      <c r="AF977" s="18" t="s">
        <v>45</v>
      </c>
      <c r="AG977" s="9">
        <v>2025</v>
      </c>
      <c r="AH977" s="20">
        <f t="shared" si="205"/>
        <v>35348.571292564091</v>
      </c>
    </row>
    <row r="978" spans="1:34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Y978" s="22" t="s">
        <v>67</v>
      </c>
      <c r="Z978" s="18"/>
      <c r="AB978" s="15">
        <v>4377.18</v>
      </c>
      <c r="AE978" s="17">
        <f>AB978+AD978</f>
        <v>4377.18</v>
      </c>
      <c r="AF978" s="18" t="s">
        <v>45</v>
      </c>
      <c r="AH978" s="20">
        <f t="shared" si="205"/>
        <v>39725.751292564091</v>
      </c>
    </row>
    <row r="979" spans="1:34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18" t="s">
        <v>207</v>
      </c>
      <c r="X979" s="18" t="s">
        <v>263</v>
      </c>
      <c r="Y979" s="22" t="s">
        <v>67</v>
      </c>
      <c r="Z979" s="18" t="s">
        <v>963</v>
      </c>
      <c r="AB979" s="15">
        <v>-2602.59</v>
      </c>
      <c r="AC979" s="16">
        <v>0</v>
      </c>
      <c r="AD979" s="15">
        <v>0</v>
      </c>
      <c r="AE979" s="17">
        <f t="shared" ref="AE979:AE982" si="206">AB979+AD979</f>
        <v>-2602.59</v>
      </c>
      <c r="AF979" s="18" t="s">
        <v>45</v>
      </c>
      <c r="AH979" s="20">
        <f t="shared" si="205"/>
        <v>37123.161292564095</v>
      </c>
    </row>
    <row r="980" spans="1:34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0</v>
      </c>
      <c r="AC980" s="16">
        <v>0</v>
      </c>
      <c r="AD980" s="15">
        <v>0</v>
      </c>
      <c r="AE980" s="17">
        <f t="shared" si="206"/>
        <v>0</v>
      </c>
      <c r="AF980" s="18" t="s">
        <v>45</v>
      </c>
      <c r="AH980" s="20">
        <f t="shared" si="205"/>
        <v>37123.161292564095</v>
      </c>
    </row>
    <row r="981" spans="1:34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V981" s="21"/>
      <c r="W981" s="9" t="s">
        <v>91</v>
      </c>
      <c r="X981" s="9" t="s">
        <v>92</v>
      </c>
      <c r="Y981" s="22" t="s">
        <v>67</v>
      </c>
      <c r="Z981" s="18" t="s">
        <v>963</v>
      </c>
      <c r="AB981" s="15">
        <v>-776.99</v>
      </c>
      <c r="AC981" s="16">
        <v>0.03</v>
      </c>
      <c r="AD981" s="15">
        <f>AB981*AC981</f>
        <v>-23.309699999999999</v>
      </c>
      <c r="AE981" s="17">
        <f t="shared" si="206"/>
        <v>-800.29970000000003</v>
      </c>
      <c r="AF981" s="18" t="s">
        <v>45</v>
      </c>
      <c r="AH981" s="20">
        <f t="shared" si="205"/>
        <v>36322.861592564092</v>
      </c>
    </row>
    <row r="982" spans="1:34" x14ac:dyDescent="0.2">
      <c r="A982" s="9" t="s">
        <v>86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9" t="s">
        <v>38</v>
      </c>
      <c r="L982" s="13" t="s">
        <v>51</v>
      </c>
      <c r="M982" s="9" t="s">
        <v>52</v>
      </c>
      <c r="N982" s="14" t="s">
        <v>53</v>
      </c>
      <c r="O982" s="14" t="s">
        <v>105</v>
      </c>
      <c r="P982" s="14" t="s">
        <v>205</v>
      </c>
      <c r="Q982" s="14" t="s">
        <v>206</v>
      </c>
      <c r="S982" s="9" t="s">
        <v>42</v>
      </c>
      <c r="T982" s="9" t="s">
        <v>43</v>
      </c>
      <c r="V982" s="21"/>
      <c r="W982" s="9" t="s">
        <v>91</v>
      </c>
      <c r="X982" s="9" t="s">
        <v>92</v>
      </c>
      <c r="Y982" s="22" t="s">
        <v>67</v>
      </c>
      <c r="Z982" s="18" t="s">
        <v>963</v>
      </c>
      <c r="AB982" s="15">
        <v>-832.73</v>
      </c>
      <c r="AC982" s="16">
        <v>0.17</v>
      </c>
      <c r="AD982" s="15">
        <f>AB982*AC982</f>
        <v>-141.56410000000002</v>
      </c>
      <c r="AE982" s="17">
        <f t="shared" si="206"/>
        <v>-974.29410000000007</v>
      </c>
      <c r="AF982" s="18" t="s">
        <v>45</v>
      </c>
      <c r="AH982" s="20">
        <f t="shared" si="205"/>
        <v>35348.567492564092</v>
      </c>
    </row>
    <row r="983" spans="1:34" x14ac:dyDescent="0.2">
      <c r="A983" s="9" t="s">
        <v>86</v>
      </c>
      <c r="B983" s="21">
        <v>46223</v>
      </c>
      <c r="C983" s="21">
        <v>46223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53</v>
      </c>
      <c r="O983" s="14" t="s">
        <v>105</v>
      </c>
      <c r="P983" s="14" t="s">
        <v>205</v>
      </c>
      <c r="Q983" s="14" t="s">
        <v>206</v>
      </c>
      <c r="S983" s="9" t="s">
        <v>42</v>
      </c>
      <c r="T983" s="9" t="s">
        <v>43</v>
      </c>
      <c r="U983" s="9" t="s">
        <v>878</v>
      </c>
      <c r="V983" s="21"/>
      <c r="Y983" s="22" t="s">
        <v>67</v>
      </c>
      <c r="Z983" s="18"/>
      <c r="AB983" s="15">
        <v>-4377.18</v>
      </c>
      <c r="AE983" s="17">
        <f>AB983+AD983</f>
        <v>-4377.18</v>
      </c>
      <c r="AF983" s="18" t="s">
        <v>45</v>
      </c>
      <c r="AH983" s="20">
        <f t="shared" si="205"/>
        <v>30971.387492564092</v>
      </c>
    </row>
    <row r="984" spans="1:34" x14ac:dyDescent="0.2">
      <c r="A984" s="9" t="s">
        <v>137</v>
      </c>
      <c r="B984" s="21">
        <v>46223</v>
      </c>
      <c r="C984" s="21">
        <v>46223</v>
      </c>
      <c r="D984" s="11" t="s">
        <v>955</v>
      </c>
      <c r="E984" s="10" t="s">
        <v>133</v>
      </c>
      <c r="F984" s="11" t="s">
        <v>49</v>
      </c>
      <c r="G984" s="10" t="s">
        <v>37</v>
      </c>
      <c r="H984" s="12">
        <f t="shared" si="203"/>
        <v>7</v>
      </c>
      <c r="I984" s="9">
        <v>2026</v>
      </c>
      <c r="J984" s="9">
        <v>2026</v>
      </c>
      <c r="K984" s="10" t="s">
        <v>38</v>
      </c>
      <c r="L984" s="13" t="s">
        <v>51</v>
      </c>
      <c r="M984" s="9" t="s">
        <v>52</v>
      </c>
      <c r="N984" s="14" t="s">
        <v>138</v>
      </c>
      <c r="O984" s="14" t="s">
        <v>139</v>
      </c>
      <c r="P984" s="14" t="s">
        <v>140</v>
      </c>
      <c r="Q984" s="22" t="s">
        <v>141</v>
      </c>
      <c r="R984" s="22" t="s">
        <v>964</v>
      </c>
      <c r="S984" s="9" t="s">
        <v>42</v>
      </c>
      <c r="T984" s="9" t="s">
        <v>43</v>
      </c>
      <c r="U984" s="9" t="s">
        <v>878</v>
      </c>
      <c r="V984" s="21">
        <v>46223</v>
      </c>
      <c r="Y984" t="s">
        <v>143</v>
      </c>
      <c r="Z984"/>
      <c r="AA984" s="22" t="s">
        <v>144</v>
      </c>
      <c r="AB984" s="15">
        <v>-1663.85</v>
      </c>
      <c r="AE984" s="17">
        <f t="shared" ref="AE984" si="207">AB984+AD984</f>
        <v>-1663.85</v>
      </c>
      <c r="AF984" s="18" t="s">
        <v>45</v>
      </c>
      <c r="AG984" s="9">
        <v>2026</v>
      </c>
      <c r="AH984" s="20">
        <f t="shared" si="205"/>
        <v>29307.537492564094</v>
      </c>
    </row>
    <row r="985" spans="1:34" x14ac:dyDescent="0.2">
      <c r="A985" s="9" t="s">
        <v>86</v>
      </c>
      <c r="B985" s="10">
        <v>46232</v>
      </c>
      <c r="C985" s="10">
        <v>46232</v>
      </c>
      <c r="D985" s="11" t="s">
        <v>955</v>
      </c>
      <c r="E985" s="10" t="s">
        <v>133</v>
      </c>
      <c r="F985" s="11" t="s">
        <v>49</v>
      </c>
      <c r="G985" s="10" t="s">
        <v>37</v>
      </c>
      <c r="H985" s="12">
        <f t="shared" si="203"/>
        <v>7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524</v>
      </c>
      <c r="O985" s="14" t="s">
        <v>525</v>
      </c>
      <c r="P985" s="14" t="s">
        <v>526</v>
      </c>
      <c r="Q985" s="22" t="s">
        <v>527</v>
      </c>
      <c r="R985" t="s">
        <v>965</v>
      </c>
      <c r="S985" s="9" t="s">
        <v>42</v>
      </c>
      <c r="T985" s="9" t="s">
        <v>43</v>
      </c>
      <c r="U985" s="9" t="s">
        <v>878</v>
      </c>
      <c r="V985" s="21">
        <v>46216</v>
      </c>
      <c r="W985" s="9" t="s">
        <v>91</v>
      </c>
      <c r="X985" s="9" t="s">
        <v>92</v>
      </c>
      <c r="Y985" s="22" t="s">
        <v>529</v>
      </c>
      <c r="Z985" s="18"/>
      <c r="AB985" s="15">
        <v>-129.87</v>
      </c>
      <c r="AC985" s="16">
        <v>0.08</v>
      </c>
      <c r="AD985" s="15">
        <f t="shared" ref="AD985" si="208">AB985*AC985</f>
        <v>-10.3896</v>
      </c>
      <c r="AE985" s="17">
        <f>AB985+AD985</f>
        <v>-140.25960000000001</v>
      </c>
      <c r="AF985" s="18" t="s">
        <v>45</v>
      </c>
      <c r="AG985" s="9">
        <v>2026</v>
      </c>
      <c r="AH985" s="20">
        <f t="shared" si="205"/>
        <v>29167.277892564092</v>
      </c>
    </row>
    <row r="986" spans="1:34" x14ac:dyDescent="0.2">
      <c r="A986" s="9" t="s">
        <v>86</v>
      </c>
      <c r="B986" s="21">
        <v>46237</v>
      </c>
      <c r="C986" s="21">
        <v>46237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9" t="s">
        <v>38</v>
      </c>
      <c r="L986" s="13" t="s">
        <v>51</v>
      </c>
      <c r="M986" s="9" t="s">
        <v>52</v>
      </c>
      <c r="N986" s="14" t="s">
        <v>53</v>
      </c>
      <c r="O986" s="14" t="s">
        <v>126</v>
      </c>
      <c r="P986" s="14" t="s">
        <v>127</v>
      </c>
      <c r="Q986" s="14" t="s">
        <v>128</v>
      </c>
      <c r="R986" s="14" t="s">
        <v>967</v>
      </c>
      <c r="S986" s="9" t="s">
        <v>42</v>
      </c>
      <c r="T986" s="9" t="s">
        <v>43</v>
      </c>
      <c r="U986" s="9" t="s">
        <v>878</v>
      </c>
      <c r="V986" s="21"/>
      <c r="W986" s="9" t="s">
        <v>91</v>
      </c>
      <c r="X986" s="9" t="s">
        <v>92</v>
      </c>
      <c r="Y986" s="22" t="s">
        <v>693</v>
      </c>
      <c r="Z986" s="18"/>
      <c r="AB986" s="15">
        <v>-180</v>
      </c>
      <c r="AC986" s="16">
        <v>0</v>
      </c>
      <c r="AD986" s="15">
        <f>AB986*AC986</f>
        <v>0</v>
      </c>
      <c r="AE986" s="17">
        <f t="shared" ref="AE986:AE988" si="209">AB986+AD986</f>
        <v>-180</v>
      </c>
      <c r="AF986" s="18" t="s">
        <v>45</v>
      </c>
      <c r="AH986" s="20">
        <f t="shared" si="205"/>
        <v>28987.277892564092</v>
      </c>
    </row>
    <row r="987" spans="1:34" x14ac:dyDescent="0.2">
      <c r="A987" s="18" t="s">
        <v>86</v>
      </c>
      <c r="B987" s="21">
        <v>46244</v>
      </c>
      <c r="C987" s="21">
        <v>46244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53</v>
      </c>
      <c r="O987" s="14" t="s">
        <v>95</v>
      </c>
      <c r="P987" s="14" t="s">
        <v>236</v>
      </c>
      <c r="Q987" s="14" t="s">
        <v>237</v>
      </c>
      <c r="R987" s="22"/>
      <c r="S987" s="18" t="s">
        <v>42</v>
      </c>
      <c r="T987" s="9" t="s">
        <v>43</v>
      </c>
      <c r="U987" s="18" t="s">
        <v>878</v>
      </c>
      <c r="V987" s="21">
        <v>46244</v>
      </c>
      <c r="W987" s="9" t="s">
        <v>91</v>
      </c>
      <c r="X987" s="9" t="s">
        <v>92</v>
      </c>
      <c r="Y987" s="22" t="s">
        <v>570</v>
      </c>
      <c r="Z987" s="14"/>
      <c r="AB987" s="15">
        <v>-297.5</v>
      </c>
      <c r="AC987" s="16">
        <v>0.17</v>
      </c>
      <c r="AD987" s="15">
        <f>AB987*AC987</f>
        <v>-50.575000000000003</v>
      </c>
      <c r="AE987" s="17">
        <f t="shared" si="209"/>
        <v>-348.07499999999999</v>
      </c>
      <c r="AF987" s="18" t="s">
        <v>45</v>
      </c>
      <c r="AH987" s="20">
        <f t="shared" si="205"/>
        <v>28639.202892564092</v>
      </c>
    </row>
    <row r="988" spans="1:34" x14ac:dyDescent="0.2">
      <c r="A988" s="9" t="s">
        <v>72</v>
      </c>
      <c r="B988" s="21">
        <v>46253</v>
      </c>
      <c r="C988" s="21">
        <v>46253</v>
      </c>
      <c r="D988" s="11" t="s">
        <v>966</v>
      </c>
      <c r="E988" s="10" t="s">
        <v>133</v>
      </c>
      <c r="F988" s="11" t="s">
        <v>49</v>
      </c>
      <c r="G988" s="10" t="s">
        <v>37</v>
      </c>
      <c r="H988" s="12">
        <f t="shared" si="203"/>
        <v>8</v>
      </c>
      <c r="I988" s="9">
        <v>2026</v>
      </c>
      <c r="J988" s="9">
        <v>2026</v>
      </c>
      <c r="K988" s="10" t="s">
        <v>38</v>
      </c>
      <c r="L988" s="13" t="s">
        <v>51</v>
      </c>
      <c r="M988" s="9" t="s">
        <v>52</v>
      </c>
      <c r="N988" s="14" t="s">
        <v>138</v>
      </c>
      <c r="O988" s="14" t="s">
        <v>151</v>
      </c>
      <c r="P988" s="14" t="s">
        <v>151</v>
      </c>
      <c r="Q988" s="14" t="s">
        <v>968</v>
      </c>
      <c r="S988" s="9" t="s">
        <v>42</v>
      </c>
      <c r="T988" s="9" t="s">
        <v>43</v>
      </c>
      <c r="U988" s="9" t="s">
        <v>878</v>
      </c>
      <c r="V988" s="21">
        <v>46248</v>
      </c>
      <c r="Y988" t="s">
        <v>153</v>
      </c>
      <c r="Z988"/>
      <c r="AB988" s="15">
        <v>-472.85</v>
      </c>
      <c r="AE988" s="17">
        <f t="shared" si="209"/>
        <v>-472.85</v>
      </c>
      <c r="AF988" s="18" t="s">
        <v>45</v>
      </c>
      <c r="AG988" s="9">
        <v>2026</v>
      </c>
      <c r="AH988" s="20">
        <f t="shared" si="205"/>
        <v>28166.352892564093</v>
      </c>
    </row>
    <row r="989" spans="1:34" x14ac:dyDescent="0.2">
      <c r="A989" s="9" t="s">
        <v>86</v>
      </c>
      <c r="B989" s="10">
        <v>46261</v>
      </c>
      <c r="C989" s="10">
        <v>46261</v>
      </c>
      <c r="D989" s="11" t="s">
        <v>966</v>
      </c>
      <c r="E989" s="10" t="s">
        <v>133</v>
      </c>
      <c r="F989" s="11" t="s">
        <v>49</v>
      </c>
      <c r="G989" s="10" t="s">
        <v>37</v>
      </c>
      <c r="H989" s="12">
        <f t="shared" si="203"/>
        <v>8</v>
      </c>
      <c r="I989" s="9">
        <v>2026</v>
      </c>
      <c r="J989" s="9">
        <v>2026</v>
      </c>
      <c r="K989" s="9" t="s">
        <v>38</v>
      </c>
      <c r="L989" s="13" t="s">
        <v>51</v>
      </c>
      <c r="M989" s="9" t="s">
        <v>52</v>
      </c>
      <c r="N989" s="14" t="s">
        <v>524</v>
      </c>
      <c r="O989" s="14" t="s">
        <v>525</v>
      </c>
      <c r="P989" s="14" t="s">
        <v>526</v>
      </c>
      <c r="Q989" s="22" t="s">
        <v>527</v>
      </c>
      <c r="R989" t="s">
        <v>954</v>
      </c>
      <c r="S989" s="9" t="s">
        <v>42</v>
      </c>
      <c r="T989" s="9" t="s">
        <v>43</v>
      </c>
      <c r="U989" s="9" t="s">
        <v>878</v>
      </c>
      <c r="V989" s="21">
        <v>46183</v>
      </c>
      <c r="W989" s="9" t="s">
        <v>91</v>
      </c>
      <c r="X989" s="9" t="s">
        <v>92</v>
      </c>
      <c r="Y989" s="22" t="s">
        <v>529</v>
      </c>
      <c r="Z989" s="18"/>
      <c r="AB989" s="15">
        <v>-119.99</v>
      </c>
      <c r="AC989" s="16">
        <v>0.08</v>
      </c>
      <c r="AD989" s="15">
        <f t="shared" ref="AD989" si="210">AB989*AC989</f>
        <v>-9.5991999999999997</v>
      </c>
      <c r="AE989" s="17">
        <f>AB989+AD989</f>
        <v>-129.58920000000001</v>
      </c>
      <c r="AF989" s="18" t="s">
        <v>45</v>
      </c>
      <c r="AG989" s="9">
        <v>2026</v>
      </c>
      <c r="AH989" s="20">
        <f t="shared" si="205"/>
        <v>28036.763692564095</v>
      </c>
    </row>
    <row r="990" spans="1:34" x14ac:dyDescent="0.2">
      <c r="A990" s="9" t="s">
        <v>86</v>
      </c>
      <c r="B990" s="21">
        <v>46266</v>
      </c>
      <c r="C990" s="21">
        <v>46266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9" t="s">
        <v>38</v>
      </c>
      <c r="L990" s="13" t="s">
        <v>51</v>
      </c>
      <c r="M990" s="9" t="s">
        <v>52</v>
      </c>
      <c r="N990" s="14" t="s">
        <v>53</v>
      </c>
      <c r="O990" s="14" t="s">
        <v>126</v>
      </c>
      <c r="P990" s="14" t="s">
        <v>127</v>
      </c>
      <c r="Q990" s="14" t="s">
        <v>128</v>
      </c>
      <c r="R990" s="14" t="s">
        <v>970</v>
      </c>
      <c r="S990" s="9" t="s">
        <v>42</v>
      </c>
      <c r="T990" s="9" t="s">
        <v>43</v>
      </c>
      <c r="U990" s="9" t="s">
        <v>878</v>
      </c>
      <c r="V990" s="21"/>
      <c r="W990" s="9" t="s">
        <v>91</v>
      </c>
      <c r="X990" s="9" t="s">
        <v>92</v>
      </c>
      <c r="Y990" s="22" t="s">
        <v>693</v>
      </c>
      <c r="Z990" s="18"/>
      <c r="AB990" s="15">
        <v>-180</v>
      </c>
      <c r="AC990" s="16">
        <v>0</v>
      </c>
      <c r="AD990" s="15">
        <f>AB990*AC990</f>
        <v>0</v>
      </c>
      <c r="AE990" s="17">
        <f t="shared" ref="AE990:AE992" si="211">AB990+AD990</f>
        <v>-180</v>
      </c>
      <c r="AF990" s="18" t="s">
        <v>45</v>
      </c>
      <c r="AH990" s="20">
        <f t="shared" si="205"/>
        <v>27856.763692564095</v>
      </c>
    </row>
    <row r="991" spans="1:34" x14ac:dyDescent="0.2">
      <c r="A991" s="9" t="s">
        <v>86</v>
      </c>
      <c r="B991" s="10">
        <v>46272</v>
      </c>
      <c r="C991" s="10">
        <v>46272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8" t="s">
        <v>58</v>
      </c>
      <c r="L991" s="13" t="s">
        <v>51</v>
      </c>
      <c r="M991" s="9" t="s">
        <v>52</v>
      </c>
      <c r="N991" s="14" t="s">
        <v>53</v>
      </c>
      <c r="O991" s="14" t="s">
        <v>95</v>
      </c>
      <c r="P991" s="14" t="s">
        <v>598</v>
      </c>
      <c r="Q991" s="58" t="s">
        <v>971</v>
      </c>
      <c r="R991" s="58" t="s">
        <v>971</v>
      </c>
      <c r="S991" s="9" t="s">
        <v>42</v>
      </c>
      <c r="T991" s="9" t="s">
        <v>43</v>
      </c>
      <c r="U991" s="9" t="s">
        <v>878</v>
      </c>
      <c r="V991" s="21">
        <v>46272</v>
      </c>
      <c r="W991" s="21" t="s">
        <v>207</v>
      </c>
      <c r="X991" s="18" t="s">
        <v>263</v>
      </c>
      <c r="Y991" s="22" t="s">
        <v>972</v>
      </c>
      <c r="Z991"/>
      <c r="AB991" s="15">
        <v>-1800</v>
      </c>
      <c r="AC991" s="16">
        <v>0</v>
      </c>
      <c r="AD991" s="15">
        <f>AB991*AC991</f>
        <v>0</v>
      </c>
      <c r="AE991" s="17">
        <f t="shared" si="211"/>
        <v>-1800</v>
      </c>
      <c r="AF991" s="18" t="s">
        <v>45</v>
      </c>
      <c r="AH991" s="20">
        <f t="shared" si="205"/>
        <v>26056.763692564095</v>
      </c>
    </row>
    <row r="992" spans="1:34" s="1" customFormat="1" x14ac:dyDescent="0.2">
      <c r="A992" s="18" t="s">
        <v>222</v>
      </c>
      <c r="B992" s="10">
        <v>46272</v>
      </c>
      <c r="C992" s="10">
        <v>46272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42" t="s">
        <v>58</v>
      </c>
      <c r="L992" s="47" t="s">
        <v>223</v>
      </c>
      <c r="M992" s="49" t="s">
        <v>224</v>
      </c>
      <c r="N992" s="47" t="s">
        <v>225</v>
      </c>
      <c r="O992" s="47" t="s">
        <v>226</v>
      </c>
      <c r="P992" s="47" t="s">
        <v>973</v>
      </c>
      <c r="Q992" s="50" t="s">
        <v>974</v>
      </c>
      <c r="R992" s="48"/>
      <c r="S992" s="41" t="s">
        <v>42</v>
      </c>
      <c r="T992" s="41" t="s">
        <v>66</v>
      </c>
      <c r="U992" s="49" t="s">
        <v>878</v>
      </c>
      <c r="V992" s="42">
        <v>46272</v>
      </c>
      <c r="W992" s="41"/>
      <c r="X992" s="41"/>
      <c r="Y992" s="50" t="s">
        <v>67</v>
      </c>
      <c r="Z992" s="48"/>
      <c r="AA992" s="48"/>
      <c r="AB992" s="36">
        <v>-4000</v>
      </c>
      <c r="AC992" s="16"/>
      <c r="AD992" s="15"/>
      <c r="AE992" s="35">
        <f t="shared" si="211"/>
        <v>-4000</v>
      </c>
      <c r="AF992" s="18" t="s">
        <v>45</v>
      </c>
      <c r="AH992" s="20">
        <f t="shared" si="205"/>
        <v>22056.763692564095</v>
      </c>
    </row>
    <row r="993" spans="1:36" x14ac:dyDescent="0.2">
      <c r="A993" s="9" t="s">
        <v>137</v>
      </c>
      <c r="B993" s="21">
        <v>46274</v>
      </c>
      <c r="C993" s="21">
        <v>46274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139</v>
      </c>
      <c r="P993" s="14" t="s">
        <v>140</v>
      </c>
      <c r="Q993" s="22" t="s">
        <v>141</v>
      </c>
      <c r="R993" s="22" t="s">
        <v>975</v>
      </c>
      <c r="S993" s="9" t="s">
        <v>42</v>
      </c>
      <c r="T993" s="9" t="s">
        <v>43</v>
      </c>
      <c r="U993" s="9" t="s">
        <v>878</v>
      </c>
      <c r="V993" s="21">
        <v>46269</v>
      </c>
      <c r="Y993" t="s">
        <v>143</v>
      </c>
      <c r="Z993"/>
      <c r="AA993" s="22" t="s">
        <v>144</v>
      </c>
      <c r="AB993" s="15">
        <v>-1671.7</v>
      </c>
      <c r="AE993" s="17">
        <f>AB993+AD993</f>
        <v>-1671.7</v>
      </c>
      <c r="AF993" s="18" t="s">
        <v>45</v>
      </c>
      <c r="AG993" s="9">
        <v>2026</v>
      </c>
      <c r="AH993" s="20">
        <f t="shared" si="205"/>
        <v>20385.063692564094</v>
      </c>
    </row>
    <row r="994" spans="1:36" x14ac:dyDescent="0.2">
      <c r="A994" s="9" t="s">
        <v>46</v>
      </c>
      <c r="B994" s="21">
        <v>46274</v>
      </c>
      <c r="C994" s="21">
        <v>46274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9" t="s">
        <v>38</v>
      </c>
      <c r="L994" s="13" t="s">
        <v>51</v>
      </c>
      <c r="M994" s="9" t="s">
        <v>52</v>
      </c>
      <c r="N994" s="14" t="s">
        <v>53</v>
      </c>
      <c r="O994" s="14" t="s">
        <v>95</v>
      </c>
      <c r="P994" s="14" t="s">
        <v>96</v>
      </c>
      <c r="Q994" s="22" t="s">
        <v>97</v>
      </c>
      <c r="R994" t="s">
        <v>523</v>
      </c>
      <c r="S994" s="9" t="s">
        <v>42</v>
      </c>
      <c r="T994" s="9" t="s">
        <v>43</v>
      </c>
      <c r="U994" s="9" t="s">
        <v>878</v>
      </c>
      <c r="V994" s="21">
        <v>46274</v>
      </c>
      <c r="Y994" s="22" t="s">
        <v>878</v>
      </c>
      <c r="Z994" s="18"/>
      <c r="AB994" s="15">
        <v>-8</v>
      </c>
      <c r="AE994" s="17">
        <f t="shared" ref="AE994:AE995" si="212">AB994+AD994</f>
        <v>-8</v>
      </c>
      <c r="AF994" s="18" t="s">
        <v>45</v>
      </c>
      <c r="AH994" s="20">
        <f t="shared" si="205"/>
        <v>20377.063692564094</v>
      </c>
    </row>
    <row r="995" spans="1:36" x14ac:dyDescent="0.2">
      <c r="A995" s="9" t="s">
        <v>72</v>
      </c>
      <c r="B995" s="21">
        <v>46279</v>
      </c>
      <c r="C995" s="21">
        <v>46279</v>
      </c>
      <c r="D995" s="11" t="s">
        <v>969</v>
      </c>
      <c r="E995" s="10" t="s">
        <v>133</v>
      </c>
      <c r="F995" s="11" t="s">
        <v>49</v>
      </c>
      <c r="G995" s="10" t="s">
        <v>37</v>
      </c>
      <c r="H995" s="12">
        <f t="shared" si="203"/>
        <v>9</v>
      </c>
      <c r="I995" s="9">
        <v>2026</v>
      </c>
      <c r="J995" s="9">
        <v>2026</v>
      </c>
      <c r="K995" s="10" t="s">
        <v>38</v>
      </c>
      <c r="L995" s="13" t="s">
        <v>51</v>
      </c>
      <c r="M995" s="9" t="s">
        <v>52</v>
      </c>
      <c r="N995" s="14" t="s">
        <v>138</v>
      </c>
      <c r="O995" s="14" t="s">
        <v>151</v>
      </c>
      <c r="P995" s="14" t="s">
        <v>151</v>
      </c>
      <c r="Q995" s="14" t="s">
        <v>976</v>
      </c>
      <c r="S995" s="9" t="s">
        <v>42</v>
      </c>
      <c r="T995" s="9" t="s">
        <v>43</v>
      </c>
      <c r="U995" s="9" t="s">
        <v>878</v>
      </c>
      <c r="V995" s="21">
        <v>46276</v>
      </c>
      <c r="Y995" t="s">
        <v>153</v>
      </c>
      <c r="Z995"/>
      <c r="AB995" s="15">
        <v>-472.85</v>
      </c>
      <c r="AE995" s="17">
        <f t="shared" si="212"/>
        <v>-472.85</v>
      </c>
      <c r="AF995" s="18" t="s">
        <v>45</v>
      </c>
      <c r="AG995" s="9">
        <v>2026</v>
      </c>
      <c r="AH995" s="20">
        <f t="shared" si="205"/>
        <v>19904.213692564095</v>
      </c>
    </row>
    <row r="996" spans="1:36" x14ac:dyDescent="0.2">
      <c r="A996" s="9" t="s">
        <v>137</v>
      </c>
      <c r="B996" s="21">
        <v>46288</v>
      </c>
      <c r="C996" s="21">
        <v>46288</v>
      </c>
      <c r="D996" s="11" t="s">
        <v>969</v>
      </c>
      <c r="E996" s="10" t="s">
        <v>133</v>
      </c>
      <c r="F996" s="11" t="s">
        <v>49</v>
      </c>
      <c r="G996" s="10" t="s">
        <v>37</v>
      </c>
      <c r="H996" s="12">
        <f t="shared" si="203"/>
        <v>9</v>
      </c>
      <c r="I996" s="9">
        <v>2026</v>
      </c>
      <c r="J996" s="9">
        <v>2026</v>
      </c>
      <c r="K996" s="10" t="s">
        <v>38</v>
      </c>
      <c r="L996" s="13" t="s">
        <v>51</v>
      </c>
      <c r="M996" s="9" t="s">
        <v>52</v>
      </c>
      <c r="N996" s="14" t="s">
        <v>138</v>
      </c>
      <c r="O996" s="14" t="s">
        <v>139</v>
      </c>
      <c r="P996" s="14" t="s">
        <v>140</v>
      </c>
      <c r="Q996" s="22" t="s">
        <v>141</v>
      </c>
      <c r="R996" s="22" t="s">
        <v>977</v>
      </c>
      <c r="S996" s="9" t="s">
        <v>42</v>
      </c>
      <c r="T996" s="9" t="s">
        <v>43</v>
      </c>
      <c r="U996" s="9" t="s">
        <v>878</v>
      </c>
      <c r="V996" s="21">
        <v>46287</v>
      </c>
      <c r="Y996" t="s">
        <v>143</v>
      </c>
      <c r="Z996"/>
      <c r="AA996" s="22" t="s">
        <v>144</v>
      </c>
      <c r="AB996" s="15">
        <v>-1537.32</v>
      </c>
      <c r="AE996" s="17">
        <f>AB996+AD996</f>
        <v>-1537.32</v>
      </c>
      <c r="AF996" s="18" t="s">
        <v>45</v>
      </c>
      <c r="AG996" s="9">
        <v>2026</v>
      </c>
      <c r="AH996" s="20">
        <f t="shared" si="205"/>
        <v>18366.893692564096</v>
      </c>
    </row>
    <row r="997" spans="1:36" x14ac:dyDescent="0.2">
      <c r="A997" s="9" t="s">
        <v>86</v>
      </c>
      <c r="B997" s="21">
        <v>46296</v>
      </c>
      <c r="C997" s="21">
        <v>46296</v>
      </c>
      <c r="D997" s="11" t="s">
        <v>981</v>
      </c>
      <c r="E997" s="10" t="s">
        <v>36</v>
      </c>
      <c r="F997" s="11"/>
      <c r="G997" s="10" t="s">
        <v>37</v>
      </c>
      <c r="H997" s="12">
        <f t="shared" ref="H997:H1003" si="213">MONTH(D997)</f>
        <v>10</v>
      </c>
      <c r="I997" s="9">
        <v>2026</v>
      </c>
      <c r="J997" s="9">
        <v>2026</v>
      </c>
      <c r="K997" s="9" t="s">
        <v>38</v>
      </c>
      <c r="L997" s="13" t="s">
        <v>51</v>
      </c>
      <c r="M997" s="9" t="s">
        <v>52</v>
      </c>
      <c r="N997" s="14" t="s">
        <v>53</v>
      </c>
      <c r="O997" s="14" t="s">
        <v>126</v>
      </c>
      <c r="P997" s="14" t="s">
        <v>127</v>
      </c>
      <c r="Q997" s="14" t="s">
        <v>128</v>
      </c>
      <c r="R997" s="14" t="s">
        <v>982</v>
      </c>
      <c r="S997" s="9" t="s">
        <v>42</v>
      </c>
      <c r="T997" s="9" t="s">
        <v>43</v>
      </c>
      <c r="U997" s="9" t="s">
        <v>878</v>
      </c>
      <c r="V997" s="21"/>
      <c r="W997" s="9" t="s">
        <v>91</v>
      </c>
      <c r="X997" s="9" t="s">
        <v>92</v>
      </c>
      <c r="Y997" s="22" t="s">
        <v>693</v>
      </c>
      <c r="Z997" s="18"/>
      <c r="AB997" s="15">
        <v>-180</v>
      </c>
      <c r="AC997" s="16">
        <v>0</v>
      </c>
      <c r="AD997" s="15">
        <f>AB997*AC997</f>
        <v>0</v>
      </c>
      <c r="AE997" s="17">
        <f t="shared" ref="AE997" si="214">AB997+AD997</f>
        <v>-180</v>
      </c>
      <c r="AF997" s="18" t="s">
        <v>45</v>
      </c>
      <c r="AH997" s="20">
        <f t="shared" ref="AH997:AH1003" si="215">AH996+AE997</f>
        <v>18186.893692564096</v>
      </c>
    </row>
    <row r="998" spans="1:36" x14ac:dyDescent="0.2">
      <c r="A998" s="9" t="s">
        <v>86</v>
      </c>
      <c r="B998" s="21">
        <v>46300</v>
      </c>
      <c r="C998" s="21">
        <v>46300</v>
      </c>
      <c r="D998" s="11" t="s">
        <v>981</v>
      </c>
      <c r="E998" s="10" t="s">
        <v>36</v>
      </c>
      <c r="F998" s="11"/>
      <c r="G998" s="10" t="s">
        <v>37</v>
      </c>
      <c r="H998" s="12">
        <f t="shared" si="213"/>
        <v>10</v>
      </c>
      <c r="I998" s="9">
        <v>2026</v>
      </c>
      <c r="J998" s="9">
        <v>2026</v>
      </c>
      <c r="K998" s="9" t="s">
        <v>38</v>
      </c>
      <c r="L998" s="13" t="s">
        <v>51</v>
      </c>
      <c r="M998" s="9" t="s">
        <v>52</v>
      </c>
      <c r="N998" s="14" t="s">
        <v>53</v>
      </c>
      <c r="O998" s="14" t="s">
        <v>105</v>
      </c>
      <c r="P998" s="14" t="s">
        <v>205</v>
      </c>
      <c r="Q998" s="14" t="s">
        <v>206</v>
      </c>
      <c r="S998" s="9" t="s">
        <v>42</v>
      </c>
      <c r="T998" s="9" t="s">
        <v>43</v>
      </c>
      <c r="V998" s="21"/>
      <c r="Y998" s="22" t="s">
        <v>67</v>
      </c>
      <c r="Z998" s="18"/>
      <c r="AB998" s="15">
        <v>3874.63</v>
      </c>
      <c r="AE998" s="17">
        <f>AB998+AD998</f>
        <v>3874.63</v>
      </c>
      <c r="AF998" s="18" t="s">
        <v>45</v>
      </c>
      <c r="AH998" s="20">
        <f t="shared" si="215"/>
        <v>22061.523692564097</v>
      </c>
    </row>
    <row r="999" spans="1:36" x14ac:dyDescent="0.2">
      <c r="A999" s="9" t="s">
        <v>86</v>
      </c>
      <c r="B999" s="21">
        <v>46300</v>
      </c>
      <c r="C999" s="21">
        <v>46300</v>
      </c>
      <c r="D999" s="11" t="s">
        <v>981</v>
      </c>
      <c r="E999" s="10" t="s">
        <v>36</v>
      </c>
      <c r="F999" s="11"/>
      <c r="G999" s="10" t="s">
        <v>37</v>
      </c>
      <c r="H999" s="12">
        <f t="shared" si="213"/>
        <v>10</v>
      </c>
      <c r="I999" s="9">
        <v>2026</v>
      </c>
      <c r="J999" s="9">
        <v>2026</v>
      </c>
      <c r="K999" s="9" t="s">
        <v>38</v>
      </c>
      <c r="L999" s="13" t="s">
        <v>51</v>
      </c>
      <c r="M999" s="9" t="s">
        <v>52</v>
      </c>
      <c r="N999" s="14" t="s">
        <v>53</v>
      </c>
      <c r="O999" s="14" t="s">
        <v>105</v>
      </c>
      <c r="P999" s="14" t="s">
        <v>205</v>
      </c>
      <c r="Q999" s="14" t="s">
        <v>206</v>
      </c>
      <c r="S999" s="9" t="s">
        <v>42</v>
      </c>
      <c r="T999" s="9" t="s">
        <v>43</v>
      </c>
      <c r="V999" s="21"/>
      <c r="W999" s="18" t="s">
        <v>207</v>
      </c>
      <c r="X999" s="18" t="s">
        <v>263</v>
      </c>
      <c r="Y999" s="22" t="s">
        <v>67</v>
      </c>
      <c r="Z999" s="18" t="s">
        <v>983</v>
      </c>
      <c r="AB999" s="15">
        <v>-2706.53</v>
      </c>
      <c r="AC999" s="16">
        <v>0</v>
      </c>
      <c r="AD999" s="15">
        <v>0</v>
      </c>
      <c r="AE999" s="17">
        <f t="shared" ref="AE999:AE1002" si="216">AB999+AD999</f>
        <v>-2706.53</v>
      </c>
      <c r="AF999" s="18" t="s">
        <v>45</v>
      </c>
      <c r="AH999" s="20">
        <f t="shared" si="215"/>
        <v>19354.993692564098</v>
      </c>
    </row>
    <row r="1000" spans="1:36" x14ac:dyDescent="0.2">
      <c r="A1000" s="9" t="s">
        <v>86</v>
      </c>
      <c r="B1000" s="21">
        <v>46300</v>
      </c>
      <c r="C1000" s="21">
        <v>46300</v>
      </c>
      <c r="D1000" s="11" t="s">
        <v>981</v>
      </c>
      <c r="E1000" s="10" t="s">
        <v>36</v>
      </c>
      <c r="F1000" s="11"/>
      <c r="G1000" s="10" t="s">
        <v>37</v>
      </c>
      <c r="H1000" s="12">
        <f t="shared" si="213"/>
        <v>10</v>
      </c>
      <c r="I1000" s="9">
        <v>2026</v>
      </c>
      <c r="J1000" s="9">
        <v>2026</v>
      </c>
      <c r="K1000" s="9" t="s">
        <v>38</v>
      </c>
      <c r="L1000" s="13" t="s">
        <v>51</v>
      </c>
      <c r="M1000" s="9" t="s">
        <v>52</v>
      </c>
      <c r="N1000" s="14" t="s">
        <v>53</v>
      </c>
      <c r="O1000" s="14" t="s">
        <v>105</v>
      </c>
      <c r="P1000" s="14" t="s">
        <v>205</v>
      </c>
      <c r="Q1000" s="14" t="s">
        <v>206</v>
      </c>
      <c r="S1000" s="9" t="s">
        <v>42</v>
      </c>
      <c r="T1000" s="9" t="s">
        <v>43</v>
      </c>
      <c r="V1000" s="21"/>
      <c r="W1000" s="9" t="s">
        <v>91</v>
      </c>
      <c r="X1000" s="9" t="s">
        <v>92</v>
      </c>
      <c r="Y1000" s="22" t="s">
        <v>67</v>
      </c>
      <c r="Z1000" s="18" t="s">
        <v>983</v>
      </c>
      <c r="AB1000" s="15">
        <v>0</v>
      </c>
      <c r="AC1000" s="16">
        <v>0</v>
      </c>
      <c r="AD1000" s="15">
        <v>0</v>
      </c>
      <c r="AE1000" s="17">
        <f t="shared" si="216"/>
        <v>0</v>
      </c>
      <c r="AF1000" s="18" t="s">
        <v>45</v>
      </c>
      <c r="AH1000" s="20">
        <f t="shared" si="215"/>
        <v>19354.993692564098</v>
      </c>
    </row>
    <row r="1001" spans="1:36" x14ac:dyDescent="0.2">
      <c r="A1001" s="9" t="s">
        <v>86</v>
      </c>
      <c r="B1001" s="21">
        <v>46300</v>
      </c>
      <c r="C1001" s="21">
        <v>46300</v>
      </c>
      <c r="D1001" s="11" t="s">
        <v>981</v>
      </c>
      <c r="E1001" s="10" t="s">
        <v>36</v>
      </c>
      <c r="F1001" s="11"/>
      <c r="G1001" s="10" t="s">
        <v>37</v>
      </c>
      <c r="H1001" s="12">
        <f t="shared" si="213"/>
        <v>10</v>
      </c>
      <c r="I1001" s="9">
        <v>2026</v>
      </c>
      <c r="J1001" s="9">
        <v>2026</v>
      </c>
      <c r="K1001" s="9" t="s">
        <v>38</v>
      </c>
      <c r="L1001" s="13" t="s">
        <v>51</v>
      </c>
      <c r="M1001" s="9" t="s">
        <v>52</v>
      </c>
      <c r="N1001" s="14" t="s">
        <v>53</v>
      </c>
      <c r="O1001" s="14" t="s">
        <v>105</v>
      </c>
      <c r="P1001" s="14" t="s">
        <v>205</v>
      </c>
      <c r="Q1001" s="14" t="s">
        <v>206</v>
      </c>
      <c r="S1001" s="9" t="s">
        <v>42</v>
      </c>
      <c r="T1001" s="9" t="s">
        <v>43</v>
      </c>
      <c r="V1001" s="21"/>
      <c r="W1001" s="9" t="s">
        <v>91</v>
      </c>
      <c r="X1001" s="9" t="s">
        <v>92</v>
      </c>
      <c r="Y1001" s="22" t="s">
        <v>67</v>
      </c>
      <c r="Z1001" s="18" t="s">
        <v>983</v>
      </c>
      <c r="AB1001" s="15">
        <v>-418.64</v>
      </c>
      <c r="AC1001" s="16">
        <v>0.03</v>
      </c>
      <c r="AD1001" s="15">
        <f>AB1001*AC1001</f>
        <v>-12.559199999999999</v>
      </c>
      <c r="AE1001" s="17">
        <f t="shared" si="216"/>
        <v>-431.19919999999996</v>
      </c>
      <c r="AF1001" s="18" t="s">
        <v>45</v>
      </c>
      <c r="AH1001" s="20">
        <f t="shared" si="215"/>
        <v>18923.794492564099</v>
      </c>
    </row>
    <row r="1002" spans="1:36" x14ac:dyDescent="0.2">
      <c r="A1002" s="9" t="s">
        <v>86</v>
      </c>
      <c r="B1002" s="21">
        <v>46300</v>
      </c>
      <c r="C1002" s="21">
        <v>46300</v>
      </c>
      <c r="D1002" s="11" t="s">
        <v>981</v>
      </c>
      <c r="E1002" s="10" t="s">
        <v>36</v>
      </c>
      <c r="F1002" s="11"/>
      <c r="G1002" s="10" t="s">
        <v>37</v>
      </c>
      <c r="H1002" s="12">
        <f t="shared" si="213"/>
        <v>10</v>
      </c>
      <c r="I1002" s="9">
        <v>2026</v>
      </c>
      <c r="J1002" s="9">
        <v>2026</v>
      </c>
      <c r="K1002" s="9" t="s">
        <v>38</v>
      </c>
      <c r="L1002" s="13" t="s">
        <v>51</v>
      </c>
      <c r="M1002" s="9" t="s">
        <v>52</v>
      </c>
      <c r="N1002" s="14" t="s">
        <v>53</v>
      </c>
      <c r="O1002" s="14" t="s">
        <v>105</v>
      </c>
      <c r="P1002" s="14" t="s">
        <v>205</v>
      </c>
      <c r="Q1002" s="14" t="s">
        <v>206</v>
      </c>
      <c r="S1002" s="9" t="s">
        <v>42</v>
      </c>
      <c r="T1002" s="9" t="s">
        <v>43</v>
      </c>
      <c r="V1002" s="21"/>
      <c r="W1002" s="9" t="s">
        <v>91</v>
      </c>
      <c r="X1002" s="9" t="s">
        <v>92</v>
      </c>
      <c r="Y1002" s="22" t="s">
        <v>67</v>
      </c>
      <c r="Z1002" s="18" t="s">
        <v>983</v>
      </c>
      <c r="AB1002" s="15">
        <v>-629.83000000000004</v>
      </c>
      <c r="AC1002" s="16">
        <v>0.17</v>
      </c>
      <c r="AD1002" s="15">
        <f>AB1002*AC1002</f>
        <v>-107.07110000000002</v>
      </c>
      <c r="AE1002" s="17">
        <f t="shared" si="216"/>
        <v>-736.90110000000004</v>
      </c>
      <c r="AF1002" s="18" t="s">
        <v>45</v>
      </c>
      <c r="AH1002" s="20">
        <f t="shared" si="215"/>
        <v>18186.893392564099</v>
      </c>
    </row>
    <row r="1003" spans="1:36" x14ac:dyDescent="0.2">
      <c r="A1003" s="9" t="s">
        <v>86</v>
      </c>
      <c r="B1003" s="21">
        <v>46300</v>
      </c>
      <c r="C1003" s="21">
        <v>46300</v>
      </c>
      <c r="D1003" s="11" t="s">
        <v>981</v>
      </c>
      <c r="E1003" s="10" t="s">
        <v>36</v>
      </c>
      <c r="F1003" s="11"/>
      <c r="G1003" s="10" t="s">
        <v>37</v>
      </c>
      <c r="H1003" s="12">
        <f t="shared" si="213"/>
        <v>10</v>
      </c>
      <c r="I1003" s="9">
        <v>2026</v>
      </c>
      <c r="J1003" s="9">
        <v>2026</v>
      </c>
      <c r="K1003" s="9" t="s">
        <v>38</v>
      </c>
      <c r="L1003" s="13" t="s">
        <v>51</v>
      </c>
      <c r="M1003" s="9" t="s">
        <v>52</v>
      </c>
      <c r="N1003" s="14" t="s">
        <v>53</v>
      </c>
      <c r="O1003" s="14" t="s">
        <v>105</v>
      </c>
      <c r="P1003" s="14" t="s">
        <v>205</v>
      </c>
      <c r="Q1003" s="14" t="s">
        <v>206</v>
      </c>
      <c r="S1003" s="9" t="s">
        <v>42</v>
      </c>
      <c r="T1003" s="9" t="s">
        <v>43</v>
      </c>
      <c r="U1003" s="9" t="s">
        <v>878</v>
      </c>
      <c r="V1003" s="21"/>
      <c r="Y1003" s="22" t="s">
        <v>67</v>
      </c>
      <c r="Z1003" s="18"/>
      <c r="AB1003" s="15">
        <v>-3874.63</v>
      </c>
      <c r="AE1003" s="17">
        <f>AB1003+AD1003</f>
        <v>-3874.63</v>
      </c>
      <c r="AF1003" s="18" t="s">
        <v>45</v>
      </c>
      <c r="AH1003" s="20">
        <f t="shared" si="215"/>
        <v>14312.263392564098</v>
      </c>
    </row>
    <row r="1004" spans="1:36" x14ac:dyDescent="0.2">
      <c r="B1004" s="21"/>
      <c r="C1004" s="21"/>
      <c r="D1004" s="11"/>
      <c r="E1004" s="10"/>
      <c r="F1004" s="11"/>
      <c r="G1004" s="10"/>
      <c r="H1004" s="12"/>
      <c r="K1004" s="10"/>
      <c r="N1004" s="14"/>
      <c r="O1004" s="14"/>
      <c r="P1004" s="14"/>
      <c r="Q1004" s="22"/>
      <c r="R1004" s="22"/>
      <c r="S1004" s="9"/>
      <c r="T1004" s="9"/>
      <c r="V1004" s="21"/>
      <c r="Z1004"/>
      <c r="AA1004" s="22"/>
      <c r="AE1004" s="17"/>
      <c r="AF1004" s="18"/>
    </row>
    <row r="1005" spans="1:36" s="1" customFormat="1" x14ac:dyDescent="0.2">
      <c r="A1005" s="18"/>
      <c r="B1005" s="10"/>
      <c r="C1005" s="10"/>
      <c r="D1005" s="11"/>
      <c r="E1005" s="10"/>
      <c r="F1005" s="11"/>
      <c r="G1005" s="10"/>
      <c r="H1005" s="12"/>
      <c r="I1005" s="12"/>
      <c r="J1005" s="12"/>
      <c r="K1005" s="21"/>
      <c r="L1005" s="14"/>
      <c r="M1005" s="18"/>
      <c r="N1005" s="14"/>
      <c r="O1005" s="14"/>
      <c r="P1005" s="14"/>
      <c r="Q1005" s="22"/>
      <c r="R1005"/>
      <c r="S1005" s="9"/>
      <c r="T1005" s="9"/>
      <c r="U1005" s="18"/>
      <c r="V1005" s="21"/>
      <c r="W1005" s="9"/>
      <c r="X1005" s="9"/>
      <c r="Y1005" s="22"/>
      <c r="Z1005"/>
      <c r="AA1005"/>
      <c r="AB1005" s="15"/>
      <c r="AC1005" s="16"/>
      <c r="AD1005" s="15"/>
      <c r="AE1005" s="15"/>
      <c r="AF1005" s="18"/>
      <c r="AH1005" s="20"/>
    </row>
    <row r="1006" spans="1:36" s="1" customFormat="1" x14ac:dyDescent="0.2">
      <c r="A1006" s="18"/>
      <c r="B1006" s="10"/>
      <c r="C1006" s="10"/>
      <c r="D1006" s="11"/>
      <c r="E1006" s="10"/>
      <c r="F1006" s="11"/>
      <c r="G1006" s="10"/>
      <c r="H1006" s="12"/>
      <c r="I1006" s="12"/>
      <c r="J1006" s="12"/>
      <c r="K1006" s="21"/>
      <c r="L1006" s="14"/>
      <c r="M1006" s="18"/>
      <c r="N1006" s="14"/>
      <c r="O1006" s="14"/>
      <c r="P1006" s="14"/>
      <c r="Q1006" s="22"/>
      <c r="R1006"/>
      <c r="S1006" s="9"/>
      <c r="T1006" s="9"/>
      <c r="U1006" s="18"/>
      <c r="V1006" s="21"/>
      <c r="W1006" s="9"/>
      <c r="X1006" s="9"/>
      <c r="Y1006" s="22"/>
      <c r="Z1006"/>
      <c r="AA1006"/>
      <c r="AB1006" s="15"/>
      <c r="AC1006" s="16"/>
      <c r="AD1006" s="15"/>
      <c r="AE1006" s="15"/>
      <c r="AF1006" s="18"/>
      <c r="AH1006" s="20"/>
    </row>
    <row r="1007" spans="1:36" x14ac:dyDescent="0.2">
      <c r="B1007" s="10"/>
      <c r="C1007" s="10"/>
      <c r="D1007" s="11"/>
      <c r="E1007" s="10"/>
      <c r="F1007" s="11"/>
      <c r="G1007" s="10"/>
      <c r="H1007" s="12"/>
      <c r="N1007" s="14"/>
      <c r="O1007" s="14"/>
      <c r="P1007" s="14"/>
      <c r="Q1007" s="22"/>
      <c r="S1007" s="9"/>
      <c r="T1007" s="9"/>
      <c r="V1007" s="21"/>
      <c r="Y1007" s="22"/>
      <c r="Z1007" s="18"/>
      <c r="AD1007" s="63">
        <f>-SUM(AD901:AD991)</f>
        <v>-8083.5126000000018</v>
      </c>
      <c r="AE1007" s="1">
        <v>2026</v>
      </c>
      <c r="AF1007" s="2" t="s">
        <v>978</v>
      </c>
      <c r="AJ1007" s="15"/>
    </row>
    <row r="1008" spans="1:36" x14ac:dyDescent="0.2">
      <c r="B1008" s="10"/>
      <c r="C1008" s="10"/>
      <c r="D1008" s="11"/>
      <c r="E1008" s="10"/>
      <c r="F1008" s="11"/>
      <c r="G1008" s="10"/>
      <c r="H1008" s="12"/>
      <c r="N1008" s="14"/>
      <c r="O1008" s="14"/>
      <c r="P1008" s="14"/>
      <c r="Q1008" s="22"/>
      <c r="S1008" s="9"/>
      <c r="T1008" s="9"/>
      <c r="V1008" s="21"/>
      <c r="Y1008" s="22"/>
      <c r="Z1008" s="18"/>
      <c r="AF1008" s="18"/>
      <c r="AJ1008" s="15"/>
    </row>
    <row r="1010" spans="2:32" x14ac:dyDescent="0.2">
      <c r="B1010" s="21"/>
      <c r="C1010" s="21"/>
      <c r="D1010" s="11"/>
      <c r="E1010" s="10"/>
      <c r="F1010" s="11"/>
      <c r="G1010" s="10"/>
      <c r="H1010" s="12"/>
      <c r="N1010" s="14"/>
      <c r="P1010" s="14"/>
      <c r="Q1010" s="22"/>
      <c r="S1010" s="9"/>
      <c r="T1010" s="9"/>
      <c r="V1010" s="21"/>
      <c r="Y1010" s="22"/>
      <c r="Z1010" s="18"/>
      <c r="AD1010" s="18"/>
      <c r="AE1010" s="18"/>
      <c r="AF1010" s="18"/>
    </row>
  </sheetData>
  <autoFilter ref="A1:AG1007" xr:uid="{00000000-0009-0000-0000-000000000000}"/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2026-10-04T16:41:07Z</dcterms:modified>
</cp:coreProperties>
</file>